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47c005cca2a1acc/ARTICULOS/ARTICULO RPI5 VS PC VS MAC/"/>
    </mc:Choice>
  </mc:AlternateContent>
  <xr:revisionPtr revIDLastSave="533" documentId="8_{C0F0F625-09D5-427F-A1FB-F2277D2AC2F5}" xr6:coauthVersionLast="47" xr6:coauthVersionMax="47" xr10:uidLastSave="{6FE9E2F2-0FEA-468B-8779-E07A0E7A9915}"/>
  <bookViews>
    <workbookView xWindow="-98" yWindow="-98" windowWidth="21795" windowHeight="12975" activeTab="4" xr2:uid="{00000000-000D-0000-FFFF-FFFF00000000}"/>
  </bookViews>
  <sheets>
    <sheet name="Apple M4" sheetId="7" r:id="rId1"/>
    <sheet name="Ryzen 7 1660ti" sheetId="8" r:id="rId2"/>
    <sheet name="5660TI" sheetId="12" r:id="rId3"/>
    <sheet name="Raspberry Pi 5" sheetId="9" r:id="rId4"/>
    <sheet name="Colab" sheetId="11" r:id="rId5"/>
    <sheet name="Tiempos por tecnica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/>
  <c r="D21" i="9"/>
  <c r="D30" i="9"/>
  <c r="D41" i="9"/>
  <c r="D52" i="9"/>
  <c r="D96" i="8"/>
  <c r="H82" i="8"/>
  <c r="E82" i="8"/>
  <c r="C82" i="8"/>
  <c r="F74" i="8"/>
  <c r="D74" i="8"/>
  <c r="D83" i="8"/>
  <c r="H101" i="12"/>
  <c r="I94" i="12"/>
  <c r="C101" i="12"/>
  <c r="D94" i="12"/>
  <c r="H87" i="12"/>
  <c r="E87" i="12"/>
  <c r="C87" i="12"/>
  <c r="D88" i="12" s="1"/>
  <c r="K62" i="11"/>
  <c r="I62" i="11"/>
  <c r="D62" i="11"/>
  <c r="G40" i="9"/>
  <c r="C40" i="9"/>
  <c r="E40" i="9"/>
  <c r="G36" i="9"/>
  <c r="G37" i="9"/>
  <c r="G38" i="9"/>
  <c r="G39" i="9"/>
  <c r="J76" i="12"/>
  <c r="H76" i="12"/>
  <c r="E76" i="12"/>
  <c r="C76" i="12"/>
  <c r="D77" i="12" s="1"/>
  <c r="F69" i="12"/>
  <c r="K69" i="12"/>
  <c r="I69" i="12"/>
  <c r="D69" i="12"/>
  <c r="D70" i="8"/>
  <c r="D63" i="8"/>
  <c r="L56" i="7"/>
  <c r="G56" i="7"/>
  <c r="F61" i="7"/>
  <c r="D61" i="7"/>
  <c r="D62" i="7" s="1"/>
  <c r="E56" i="7"/>
  <c r="H56" i="7" s="1"/>
  <c r="D44" i="7"/>
  <c r="K46" i="11"/>
  <c r="D46" i="11"/>
  <c r="F29" i="9"/>
  <c r="K49" i="12"/>
  <c r="F49" i="12"/>
  <c r="D49" i="12"/>
  <c r="D52" i="8"/>
  <c r="D45" i="8"/>
  <c r="H48" i="7"/>
  <c r="H49" i="7"/>
  <c r="H50" i="7"/>
  <c r="H51" i="7"/>
  <c r="H40" i="7"/>
  <c r="H41" i="7"/>
  <c r="H42" i="7"/>
  <c r="H43" i="7"/>
  <c r="H31" i="7"/>
  <c r="H32" i="7"/>
  <c r="H33" i="7"/>
  <c r="H34" i="7"/>
  <c r="H24" i="7"/>
  <c r="H25" i="7"/>
  <c r="H26" i="7"/>
  <c r="H27" i="7"/>
  <c r="D28" i="8"/>
  <c r="D36" i="8"/>
  <c r="D10" i="8"/>
  <c r="D18" i="8"/>
  <c r="K12" i="12"/>
  <c r="I12" i="12"/>
  <c r="D12" i="12"/>
  <c r="F12" i="12"/>
  <c r="E21" i="12"/>
  <c r="J21" i="12"/>
  <c r="H21" i="12"/>
  <c r="C21" i="12"/>
  <c r="D22" i="12" s="1"/>
  <c r="J19" i="12"/>
  <c r="H19" i="12"/>
  <c r="C19" i="12"/>
  <c r="I49" i="12"/>
  <c r="E101" i="12"/>
  <c r="G101" i="12"/>
  <c r="K94" i="12"/>
  <c r="F94" i="12"/>
  <c r="K81" i="12"/>
  <c r="I81" i="12"/>
  <c r="F81" i="12"/>
  <c r="D81" i="12"/>
  <c r="J67" i="12"/>
  <c r="H67" i="12"/>
  <c r="E67" i="12"/>
  <c r="C67" i="12"/>
  <c r="D68" i="12" s="1"/>
  <c r="K61" i="12"/>
  <c r="I61" i="12"/>
  <c r="F61" i="12"/>
  <c r="D61" i="12"/>
  <c r="J56" i="12"/>
  <c r="G56" i="12"/>
  <c r="E56" i="12"/>
  <c r="C56" i="12"/>
  <c r="D57" i="12" s="1"/>
  <c r="J47" i="12"/>
  <c r="G47" i="12"/>
  <c r="E47" i="12"/>
  <c r="C47" i="12"/>
  <c r="F47" i="12" s="1"/>
  <c r="K41" i="12"/>
  <c r="I41" i="12"/>
  <c r="F41" i="12"/>
  <c r="D41" i="12"/>
  <c r="J38" i="12"/>
  <c r="G38" i="12"/>
  <c r="E38" i="12"/>
  <c r="C38" i="12"/>
  <c r="D39" i="12" s="1"/>
  <c r="K32" i="12"/>
  <c r="I32" i="12"/>
  <c r="F32" i="12"/>
  <c r="D32" i="12"/>
  <c r="J30" i="12"/>
  <c r="G30" i="12"/>
  <c r="E30" i="12"/>
  <c r="C30" i="12"/>
  <c r="D31" i="12" s="1"/>
  <c r="K24" i="12"/>
  <c r="I24" i="12"/>
  <c r="F24" i="12"/>
  <c r="D24" i="12"/>
  <c r="G19" i="12"/>
  <c r="E19" i="12"/>
  <c r="J10" i="12"/>
  <c r="H10" i="12"/>
  <c r="E10" i="12"/>
  <c r="C10" i="12"/>
  <c r="K4" i="12"/>
  <c r="I4" i="12"/>
  <c r="F4" i="12"/>
  <c r="D4" i="12"/>
  <c r="J51" i="11"/>
  <c r="G51" i="11"/>
  <c r="E51" i="11"/>
  <c r="C51" i="11"/>
  <c r="J35" i="11"/>
  <c r="G35" i="11"/>
  <c r="E35" i="11"/>
  <c r="C35" i="11"/>
  <c r="K29" i="11"/>
  <c r="D29" i="11"/>
  <c r="J74" i="7"/>
  <c r="G74" i="7"/>
  <c r="E74" i="7"/>
  <c r="E64" i="7"/>
  <c r="G64" i="7"/>
  <c r="J64" i="7"/>
  <c r="L64" i="7"/>
  <c r="J56" i="7"/>
  <c r="E47" i="7"/>
  <c r="E39" i="7"/>
  <c r="G39" i="7"/>
  <c r="G47" i="7"/>
  <c r="L47" i="7"/>
  <c r="L39" i="7"/>
  <c r="L30" i="7"/>
  <c r="G30" i="7"/>
  <c r="E30" i="7"/>
  <c r="G23" i="7"/>
  <c r="E23" i="7"/>
  <c r="E7" i="7"/>
  <c r="E14" i="7"/>
  <c r="G7" i="7"/>
  <c r="G14" i="7"/>
  <c r="J23" i="7"/>
  <c r="J14" i="7"/>
  <c r="J7" i="7"/>
  <c r="L7" i="7"/>
  <c r="L14" i="7"/>
  <c r="L23" i="7"/>
  <c r="F87" i="8"/>
  <c r="D87" i="8"/>
  <c r="K87" i="8"/>
  <c r="I87" i="8"/>
  <c r="K11" i="8"/>
  <c r="I11" i="8"/>
  <c r="F11" i="8"/>
  <c r="D11" i="8"/>
  <c r="K3" i="8"/>
  <c r="I3" i="8"/>
  <c r="F3" i="8"/>
  <c r="D3" i="8"/>
  <c r="D21" i="8"/>
  <c r="F21" i="8"/>
  <c r="K21" i="8"/>
  <c r="I21" i="8"/>
  <c r="K29" i="8"/>
  <c r="I29" i="8"/>
  <c r="K38" i="8"/>
  <c r="I38" i="8"/>
  <c r="I46" i="8"/>
  <c r="K74" i="8"/>
  <c r="I74" i="8"/>
  <c r="K56" i="8"/>
  <c r="I56" i="8"/>
  <c r="D80" i="11"/>
  <c r="D72" i="11"/>
  <c r="I80" i="11"/>
  <c r="I72" i="11"/>
  <c r="I55" i="11"/>
  <c r="K55" i="11"/>
  <c r="K21" i="11"/>
  <c r="K11" i="11"/>
  <c r="K3" i="11"/>
  <c r="J68" i="11"/>
  <c r="H68" i="11"/>
  <c r="G68" i="11"/>
  <c r="E68" i="11"/>
  <c r="C68" i="11"/>
  <c r="J9" i="11"/>
  <c r="H9" i="11"/>
  <c r="G9" i="11"/>
  <c r="E9" i="11"/>
  <c r="E17" i="11"/>
  <c r="G17" i="11"/>
  <c r="J17" i="11"/>
  <c r="H17" i="11"/>
  <c r="C17" i="11"/>
  <c r="I11" i="11"/>
  <c r="D11" i="11"/>
  <c r="H86" i="11"/>
  <c r="E86" i="11"/>
  <c r="C86" i="11"/>
  <c r="G85" i="11"/>
  <c r="G84" i="11"/>
  <c r="G83" i="11"/>
  <c r="G82" i="11"/>
  <c r="G81" i="11"/>
  <c r="K52" i="7"/>
  <c r="K44" i="7"/>
  <c r="K35" i="7"/>
  <c r="K28" i="7"/>
  <c r="K19" i="7"/>
  <c r="I19" i="7"/>
  <c r="K12" i="7"/>
  <c r="I12" i="7"/>
  <c r="G9" i="8"/>
  <c r="G17" i="8"/>
  <c r="G27" i="8"/>
  <c r="G35" i="8"/>
  <c r="G44" i="8"/>
  <c r="G51" i="8"/>
  <c r="H62" i="8"/>
  <c r="H69" i="8"/>
  <c r="I64" i="8" s="1"/>
  <c r="H95" i="8"/>
  <c r="H78" i="11"/>
  <c r="E78" i="11"/>
  <c r="C78" i="11"/>
  <c r="G77" i="11"/>
  <c r="G76" i="11"/>
  <c r="G75" i="11"/>
  <c r="G74" i="11"/>
  <c r="G73" i="11"/>
  <c r="J61" i="11"/>
  <c r="H61" i="11"/>
  <c r="G61" i="11"/>
  <c r="E61" i="11"/>
  <c r="C61" i="11"/>
  <c r="D55" i="11"/>
  <c r="J44" i="11"/>
  <c r="E44" i="11"/>
  <c r="C44" i="11"/>
  <c r="G44" i="11"/>
  <c r="K38" i="11"/>
  <c r="D38" i="11"/>
  <c r="J27" i="11"/>
  <c r="E27" i="11"/>
  <c r="C27" i="11"/>
  <c r="G27" i="11"/>
  <c r="D21" i="11"/>
  <c r="C9" i="11"/>
  <c r="I3" i="11"/>
  <c r="D3" i="11"/>
  <c r="H51" i="9"/>
  <c r="H40" i="9"/>
  <c r="G51" i="9"/>
  <c r="G50" i="9"/>
  <c r="G49" i="9"/>
  <c r="G48" i="9"/>
  <c r="G47" i="9"/>
  <c r="G46" i="9"/>
  <c r="G35" i="9"/>
  <c r="G28" i="9"/>
  <c r="G27" i="9"/>
  <c r="G26" i="9"/>
  <c r="G25" i="9"/>
  <c r="G24" i="9"/>
  <c r="G29" i="9" s="1"/>
  <c r="G19" i="9"/>
  <c r="G18" i="9"/>
  <c r="G17" i="9"/>
  <c r="G20" i="9" s="1"/>
  <c r="G16" i="9"/>
  <c r="G15" i="9"/>
  <c r="G5" i="9"/>
  <c r="G6" i="9"/>
  <c r="G7" i="9"/>
  <c r="G8" i="9"/>
  <c r="G4" i="9"/>
  <c r="I34" i="9"/>
  <c r="I45" i="9"/>
  <c r="F45" i="9"/>
  <c r="D45" i="9"/>
  <c r="E51" i="9"/>
  <c r="C51" i="9"/>
  <c r="J40" i="9"/>
  <c r="K34" i="9"/>
  <c r="F34" i="9"/>
  <c r="D34" i="9"/>
  <c r="J29" i="9"/>
  <c r="E29" i="9"/>
  <c r="C29" i="9"/>
  <c r="K23" i="9"/>
  <c r="F23" i="9"/>
  <c r="D23" i="9"/>
  <c r="J20" i="9"/>
  <c r="E20" i="9"/>
  <c r="C20" i="9"/>
  <c r="K14" i="9"/>
  <c r="F14" i="9"/>
  <c r="D14" i="9"/>
  <c r="J9" i="9"/>
  <c r="H9" i="9"/>
  <c r="E9" i="9"/>
  <c r="F3" i="9" s="1"/>
  <c r="C9" i="9"/>
  <c r="K3" i="9"/>
  <c r="I3" i="9"/>
  <c r="D3" i="9"/>
  <c r="J69" i="8"/>
  <c r="K64" i="8" s="1"/>
  <c r="E69" i="8"/>
  <c r="F64" i="8" s="1"/>
  <c r="C69" i="8"/>
  <c r="D64" i="8" s="1"/>
  <c r="J62" i="8"/>
  <c r="E62" i="8"/>
  <c r="C62" i="8"/>
  <c r="F56" i="8"/>
  <c r="D56" i="8"/>
  <c r="F38" i="8"/>
  <c r="D38" i="8"/>
  <c r="E44" i="8"/>
  <c r="E51" i="8"/>
  <c r="F46" i="8" s="1"/>
  <c r="C51" i="8"/>
  <c r="D46" i="8" s="1"/>
  <c r="J51" i="8"/>
  <c r="K46" i="8" s="1"/>
  <c r="J44" i="8"/>
  <c r="C44" i="8"/>
  <c r="F29" i="8"/>
  <c r="D29" i="8"/>
  <c r="J35" i="8"/>
  <c r="E35" i="8"/>
  <c r="C35" i="8"/>
  <c r="J27" i="8"/>
  <c r="E27" i="8"/>
  <c r="C27" i="8"/>
  <c r="J9" i="8"/>
  <c r="H9" i="8"/>
  <c r="J17" i="8"/>
  <c r="H17" i="8"/>
  <c r="E17" i="8"/>
  <c r="C17" i="8"/>
  <c r="E9" i="8"/>
  <c r="C9" i="8"/>
  <c r="F88" i="8"/>
  <c r="D88" i="8"/>
  <c r="E95" i="8"/>
  <c r="C95" i="8"/>
  <c r="I75" i="8"/>
  <c r="F75" i="8"/>
  <c r="D75" i="8"/>
  <c r="F79" i="7"/>
  <c r="I79" i="7"/>
  <c r="D79" i="7"/>
  <c r="D80" i="7" s="1"/>
  <c r="H78" i="7"/>
  <c r="H77" i="7"/>
  <c r="H76" i="7"/>
  <c r="H75" i="7"/>
  <c r="K69" i="7"/>
  <c r="I69" i="7"/>
  <c r="K61" i="7"/>
  <c r="I61" i="7"/>
  <c r="F69" i="7"/>
  <c r="D69" i="7"/>
  <c r="H68" i="7"/>
  <c r="H67" i="7"/>
  <c r="H66" i="7"/>
  <c r="H65" i="7"/>
  <c r="H60" i="7"/>
  <c r="H59" i="7"/>
  <c r="H58" i="7"/>
  <c r="H57" i="7"/>
  <c r="F52" i="7"/>
  <c r="D52" i="7"/>
  <c r="G52" i="7" s="1"/>
  <c r="H47" i="7"/>
  <c r="F44" i="7"/>
  <c r="G94" i="8"/>
  <c r="G93" i="8"/>
  <c r="G92" i="8"/>
  <c r="G91" i="8"/>
  <c r="G90" i="8"/>
  <c r="G89" i="8"/>
  <c r="G88" i="8"/>
  <c r="G78" i="8"/>
  <c r="G79" i="8"/>
  <c r="G80" i="8"/>
  <c r="G81" i="8"/>
  <c r="G76" i="8"/>
  <c r="G77" i="8"/>
  <c r="G75" i="8"/>
  <c r="F35" i="7"/>
  <c r="D35" i="7"/>
  <c r="H35" i="7" s="1"/>
  <c r="F28" i="7"/>
  <c r="D28" i="7"/>
  <c r="H74" i="7"/>
  <c r="H64" i="7"/>
  <c r="H39" i="7"/>
  <c r="H30" i="7"/>
  <c r="H23" i="7"/>
  <c r="F19" i="7"/>
  <c r="D19" i="7"/>
  <c r="D20" i="7" s="1"/>
  <c r="F12" i="7"/>
  <c r="D12" i="7"/>
  <c r="D13" i="7" s="1"/>
  <c r="H18" i="7"/>
  <c r="H17" i="7"/>
  <c r="H16" i="7"/>
  <c r="H15" i="7"/>
  <c r="H14" i="7"/>
  <c r="H11" i="7"/>
  <c r="H10" i="7"/>
  <c r="H9" i="7"/>
  <c r="H8" i="7"/>
  <c r="H7" i="7"/>
  <c r="D45" i="7" l="1"/>
  <c r="D36" i="7"/>
  <c r="H28" i="7"/>
  <c r="D53" i="7"/>
  <c r="G44" i="7"/>
  <c r="D29" i="7"/>
  <c r="D70" i="7"/>
  <c r="D48" i="12"/>
  <c r="D102" i="12"/>
  <c r="E11" i="12"/>
  <c r="H44" i="7"/>
  <c r="H19" i="7"/>
  <c r="G82" i="8"/>
  <c r="G95" i="8"/>
  <c r="H12" i="7"/>
  <c r="H79" i="7"/>
  <c r="H52" i="7"/>
  <c r="G86" i="11"/>
  <c r="G78" i="11"/>
  <c r="G9" i="9"/>
</calcChain>
</file>

<file path=xl/sharedStrings.xml><?xml version="1.0" encoding="utf-8"?>
<sst xmlns="http://schemas.openxmlformats.org/spreadsheetml/2006/main" count="1020" uniqueCount="67">
  <si>
    <t>Plataforma</t>
  </si>
  <si>
    <t>CPU o GPU</t>
  </si>
  <si>
    <t>Tiempo(s)</t>
  </si>
  <si>
    <t>Potencia (W)</t>
  </si>
  <si>
    <t>acc</t>
  </si>
  <si>
    <t>Loss</t>
  </si>
  <si>
    <t>CPU</t>
  </si>
  <si>
    <t>CNN2</t>
  </si>
  <si>
    <t>GPU</t>
  </si>
  <si>
    <t>RNN2</t>
  </si>
  <si>
    <t>TRANSFORMER</t>
  </si>
  <si>
    <t>XGboost</t>
  </si>
  <si>
    <t>na</t>
  </si>
  <si>
    <t>Not supported</t>
  </si>
  <si>
    <t>RNN3</t>
  </si>
  <si>
    <t>Na</t>
  </si>
  <si>
    <t>NA</t>
  </si>
  <si>
    <t>Raspberry Pi 5</t>
  </si>
  <si>
    <t>Ryzen 7 4800h</t>
  </si>
  <si>
    <t>1660ti</t>
  </si>
  <si>
    <t>M4 CPU</t>
  </si>
  <si>
    <t>M4 GPU</t>
  </si>
  <si>
    <t>Raspberry Pi 5 GPU</t>
  </si>
  <si>
    <t>Ryzen 7 7800X3D</t>
  </si>
  <si>
    <t>5060TI</t>
  </si>
  <si>
    <t>CPU/GPU</t>
  </si>
  <si>
    <t>Tiempo (s)</t>
  </si>
  <si>
    <t>Energía (J)</t>
  </si>
  <si>
    <t>Ryzen 7 4800H</t>
  </si>
  <si>
    <t>—</t>
  </si>
  <si>
    <t>🔹 2. RNN3 / RNN3LSTM</t>
  </si>
  <si>
    <t>CPU (RNN3LSTM)</t>
  </si>
  <si>
    <t>GPU (RNN3LSTM)</t>
  </si>
  <si>
    <t>CPU (RNN3)</t>
  </si>
  <si>
    <t>GPU (RNN3)</t>
  </si>
  <si>
    <t>🔹 3. CNN2</t>
  </si>
  <si>
    <t>🔹 1. RNN2 (ordenada por tiempo)</t>
  </si>
  <si>
    <t>🔹 4. XGBoost (incluye "XG")</t>
  </si>
  <si>
    <t>🔹 5. TRANSFORMER (incluye transformer3)</t>
  </si>
  <si>
    <t>1. CNN2</t>
  </si>
  <si>
    <t>2. RNN2</t>
  </si>
  <si>
    <t>3. RNN3 / RNN3LSTM</t>
  </si>
  <si>
    <t>5. XGBoost / XG</t>
  </si>
  <si>
    <t>4. TRANSFORMER</t>
  </si>
  <si>
    <t>Transformer</t>
  </si>
  <si>
    <t>XG BOOST</t>
  </si>
  <si>
    <t>POWER STD.DESV</t>
  </si>
  <si>
    <t>STD.DESV</t>
  </si>
  <si>
    <t>ACC</t>
  </si>
  <si>
    <t>LOSS</t>
  </si>
  <si>
    <t>DESV.EST LOSS</t>
  </si>
  <si>
    <t>DESV.EST ACC</t>
  </si>
  <si>
    <t>Energy</t>
  </si>
  <si>
    <t>Ryzen 7 7800X3D AND 56660TI</t>
  </si>
  <si>
    <t>Ryzen 7 7800x3D</t>
  </si>
  <si>
    <t>5660ti</t>
  </si>
  <si>
    <t>Average</t>
  </si>
  <si>
    <t>Average without first</t>
  </si>
  <si>
    <t>Time(s)</t>
  </si>
  <si>
    <t>Power(W)</t>
  </si>
  <si>
    <t>Applied energy(J)</t>
  </si>
  <si>
    <t>Accuracy</t>
  </si>
  <si>
    <t>Device</t>
  </si>
  <si>
    <t>Technique</t>
  </si>
  <si>
    <t>Timer(s)</t>
  </si>
  <si>
    <t>Power(w)</t>
  </si>
  <si>
    <t>Std Desv.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</si>
</sst>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3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4" fillId="0" borderId="0" xfId="0" applyFont="1"/>
    <xf numFmtId="0" fontId="0" fillId="4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C929-E4CA-40C3-B1AD-373474B180C8}">
  <dimension ref="B4:L87"/>
  <sheetViews>
    <sheetView workbookViewId="0">
      <selection activeCell="A73" sqref="A73:XFD73"/>
    </sheetView>
  </sheetViews>
  <sheetFormatPr defaultRowHeight="14.25" x14ac:dyDescent="0.45"/>
  <cols>
    <col min="4" max="4" width="9.1328125" bestFit="1" customWidth="1"/>
    <col min="5" max="5" width="11.9296875" bestFit="1" customWidth="1"/>
    <col min="6" max="6" width="9.1328125" bestFit="1" customWidth="1"/>
    <col min="7" max="7" width="18.19921875" customWidth="1"/>
    <col min="8" max="8" width="11.9296875" bestFit="1" customWidth="1"/>
    <col min="9" max="9" width="9.1328125" bestFit="1" customWidth="1"/>
    <col min="10" max="10" width="11.9296875" bestFit="1" customWidth="1"/>
    <col min="11" max="11" width="9.1328125" bestFit="1" customWidth="1"/>
    <col min="12" max="12" width="11.9296875" bestFit="1" customWidth="1"/>
  </cols>
  <sheetData>
    <row r="4" spans="2:1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2:12" x14ac:dyDescent="0.45">
      <c r="B5" s="30" t="s">
        <v>7</v>
      </c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2:12" x14ac:dyDescent="0.45">
      <c r="B6" s="30" t="s">
        <v>62</v>
      </c>
      <c r="C6" s="30" t="s">
        <v>63</v>
      </c>
      <c r="D6" s="30" t="s">
        <v>58</v>
      </c>
      <c r="E6" s="30" t="s">
        <v>47</v>
      </c>
      <c r="F6" s="30" t="s">
        <v>59</v>
      </c>
      <c r="G6" s="30" t="s">
        <v>46</v>
      </c>
      <c r="H6" s="30"/>
      <c r="I6" s="30" t="s">
        <v>48</v>
      </c>
      <c r="J6" s="30" t="s">
        <v>51</v>
      </c>
      <c r="K6" s="30" t="s">
        <v>49</v>
      </c>
      <c r="L6" s="30" t="s">
        <v>50</v>
      </c>
    </row>
    <row r="7" spans="2:12" x14ac:dyDescent="0.45">
      <c r="B7" s="25" t="s">
        <v>20</v>
      </c>
      <c r="C7" s="25" t="s">
        <v>7</v>
      </c>
      <c r="D7" s="25">
        <v>75.92</v>
      </c>
      <c r="E7" s="25">
        <f>_xlfn.STDEV.S(D7:D11)</f>
        <v>2.5197460189471457</v>
      </c>
      <c r="F7" s="25">
        <v>68</v>
      </c>
      <c r="G7" s="25">
        <f>_xlfn.STDEV.S(F7:F11)</f>
        <v>0.37815340802377767</v>
      </c>
      <c r="H7" s="25">
        <f>D7*F7</f>
        <v>5162.5600000000004</v>
      </c>
      <c r="I7" s="25">
        <v>0.47939999999999999</v>
      </c>
      <c r="J7" s="25">
        <f>_xlfn.STDEV.S(I7:I11)</f>
        <v>6.2585940913275351E-3</v>
      </c>
      <c r="K7" s="25">
        <v>1.4123000000000001</v>
      </c>
      <c r="L7" s="25">
        <f>_xlfn.STDEV.S(K7:K11)</f>
        <v>1.5849921135450518E-2</v>
      </c>
    </row>
    <row r="8" spans="2:12" x14ac:dyDescent="0.45">
      <c r="B8" s="25" t="s">
        <v>20</v>
      </c>
      <c r="C8" s="25" t="s">
        <v>7</v>
      </c>
      <c r="D8" s="25">
        <v>80.72</v>
      </c>
      <c r="E8" s="25"/>
      <c r="F8" s="25">
        <v>68.2</v>
      </c>
      <c r="G8" s="25"/>
      <c r="H8" s="25">
        <f>D8*F8</f>
        <v>5505.1040000000003</v>
      </c>
      <c r="I8" s="25">
        <v>0.46700000000000003</v>
      </c>
      <c r="J8" s="25"/>
      <c r="K8" s="25">
        <v>1.4469000000000001</v>
      </c>
      <c r="L8" s="25"/>
    </row>
    <row r="9" spans="2:12" x14ac:dyDescent="0.45">
      <c r="B9" s="25" t="s">
        <v>20</v>
      </c>
      <c r="C9" s="25" t="s">
        <v>7</v>
      </c>
      <c r="D9" s="25">
        <v>80.260000000000005</v>
      </c>
      <c r="E9" s="25"/>
      <c r="F9" s="25">
        <v>68.3</v>
      </c>
      <c r="G9" s="25"/>
      <c r="H9" s="25">
        <f>D9*F9</f>
        <v>5481.7579999999998</v>
      </c>
      <c r="I9" s="25">
        <v>0.47720000000000001</v>
      </c>
      <c r="J9" s="25"/>
      <c r="K9" s="25">
        <v>1.4211</v>
      </c>
      <c r="L9" s="25"/>
    </row>
    <row r="10" spans="2:12" x14ac:dyDescent="0.45">
      <c r="B10" s="25" t="s">
        <v>20</v>
      </c>
      <c r="C10" s="25" t="s">
        <v>7</v>
      </c>
      <c r="D10" s="25">
        <v>81.72</v>
      </c>
      <c r="E10" s="25"/>
      <c r="F10" s="25">
        <v>68.3</v>
      </c>
      <c r="G10" s="25"/>
      <c r="H10" s="25">
        <f>D10*F10</f>
        <v>5581.4759999999997</v>
      </c>
      <c r="I10" s="25">
        <v>0.48320000000000002</v>
      </c>
      <c r="J10" s="25"/>
      <c r="K10" s="25">
        <v>1.4111</v>
      </c>
      <c r="L10" s="25"/>
    </row>
    <row r="11" spans="2:12" x14ac:dyDescent="0.45">
      <c r="B11" s="25" t="s">
        <v>20</v>
      </c>
      <c r="C11" s="25" t="s">
        <v>7</v>
      </c>
      <c r="D11" s="25">
        <v>82.32</v>
      </c>
      <c r="E11" s="25"/>
      <c r="F11" s="25">
        <v>67.400000000000006</v>
      </c>
      <c r="G11" s="25"/>
      <c r="H11" s="25">
        <f>D11*F11</f>
        <v>5548.3680000000004</v>
      </c>
      <c r="I11" s="25">
        <v>0.48070000000000002</v>
      </c>
      <c r="J11" s="25"/>
      <c r="K11" s="25">
        <v>1.4080999999999999</v>
      </c>
      <c r="L11" s="25"/>
    </row>
    <row r="12" spans="2:12" ht="15.75" x14ac:dyDescent="0.45">
      <c r="B12" s="32"/>
      <c r="C12" s="24" t="s">
        <v>56</v>
      </c>
      <c r="D12" s="31">
        <f>AVERAGE(D7:D11)</f>
        <v>80.188000000000002</v>
      </c>
      <c r="E12" s="31"/>
      <c r="F12" s="31">
        <f>AVERAGE(F7:F11)</f>
        <v>68.040000000000006</v>
      </c>
      <c r="G12" s="31"/>
      <c r="H12" s="31">
        <f>AVERAGE(H7:H11)</f>
        <v>5455.8532000000005</v>
      </c>
      <c r="I12" s="31">
        <f>AVERAGE(I7:I11)</f>
        <v>0.47750000000000004</v>
      </c>
      <c r="J12" s="31"/>
      <c r="K12" s="31">
        <f>AVERAGE(K7:K11)</f>
        <v>1.4199000000000002</v>
      </c>
      <c r="L12" s="31"/>
    </row>
    <row r="13" spans="2:12" ht="15.75" x14ac:dyDescent="0.45">
      <c r="B13" s="31"/>
      <c r="C13" s="24" t="s">
        <v>52</v>
      </c>
      <c r="D13" s="31">
        <f>D12*F12</f>
        <v>5455.9915200000005</v>
      </c>
      <c r="E13" s="31"/>
      <c r="F13" s="31"/>
      <c r="G13" s="31"/>
      <c r="H13" s="31"/>
      <c r="I13" s="31"/>
      <c r="J13" s="31"/>
      <c r="K13" s="31"/>
      <c r="L13" s="31"/>
    </row>
    <row r="14" spans="2:12" x14ac:dyDescent="0.45">
      <c r="B14" s="25" t="s">
        <v>21</v>
      </c>
      <c r="C14" s="25" t="s">
        <v>7</v>
      </c>
      <c r="D14" s="25">
        <v>24.95</v>
      </c>
      <c r="E14" s="25">
        <f>_xlfn.STDEV.S(D14:D18)</f>
        <v>1.7165168219391265</v>
      </c>
      <c r="F14" s="25">
        <v>73.099999999999994</v>
      </c>
      <c r="G14" s="25">
        <f>_xlfn.STDEV.S(F14:F18)</f>
        <v>0.34205262752974297</v>
      </c>
      <c r="H14" s="25">
        <f>D14*F14</f>
        <v>1823.8449999999998</v>
      </c>
      <c r="I14" s="25">
        <v>0.47799999999999998</v>
      </c>
      <c r="J14" s="25">
        <f>_xlfn.STDEV.S(I14:I18)</f>
        <v>5.1368278149067975E-3</v>
      </c>
      <c r="K14" s="25">
        <v>1.4213</v>
      </c>
      <c r="L14" s="25">
        <f>_xlfn.STDEV.S(K14:K18)</f>
        <v>1.2897286536322312E-2</v>
      </c>
    </row>
    <row r="15" spans="2:12" x14ac:dyDescent="0.45">
      <c r="B15" s="25" t="s">
        <v>21</v>
      </c>
      <c r="C15" s="25" t="s">
        <v>7</v>
      </c>
      <c r="D15" s="25">
        <v>20.86</v>
      </c>
      <c r="E15" s="31"/>
      <c r="F15" s="25">
        <v>72.8</v>
      </c>
      <c r="G15" s="31"/>
      <c r="H15" s="25">
        <f>D15*F15</f>
        <v>1518.6079999999999</v>
      </c>
      <c r="I15" s="25">
        <v>0.47499999999999998</v>
      </c>
      <c r="J15" s="31"/>
      <c r="K15" s="25">
        <v>1.4291</v>
      </c>
      <c r="L15" s="31"/>
    </row>
    <row r="16" spans="2:12" x14ac:dyDescent="0.45">
      <c r="B16" s="25" t="s">
        <v>21</v>
      </c>
      <c r="C16" s="25" t="s">
        <v>7</v>
      </c>
      <c r="D16" s="25">
        <v>21.02</v>
      </c>
      <c r="E16" s="31"/>
      <c r="F16" s="25">
        <v>72.599999999999994</v>
      </c>
      <c r="G16" s="31"/>
      <c r="H16" s="25">
        <f>D16*F16</f>
        <v>1526.0519999999999</v>
      </c>
      <c r="I16" s="25">
        <v>0.48110000000000003</v>
      </c>
      <c r="J16" s="31"/>
      <c r="K16" s="25">
        <v>1.4146000000000001</v>
      </c>
      <c r="L16" s="31"/>
    </row>
    <row r="17" spans="2:12" x14ac:dyDescent="0.45">
      <c r="B17" s="25" t="s">
        <v>21</v>
      </c>
      <c r="C17" s="25" t="s">
        <v>7</v>
      </c>
      <c r="D17" s="25">
        <v>21.27</v>
      </c>
      <c r="E17" s="31"/>
      <c r="F17" s="25">
        <v>73.5</v>
      </c>
      <c r="G17" s="31"/>
      <c r="H17" s="25">
        <f>D17*F17</f>
        <v>1563.345</v>
      </c>
      <c r="I17" s="25">
        <v>0.48880000000000001</v>
      </c>
      <c r="J17" s="31"/>
      <c r="K17" s="25">
        <v>1.3955</v>
      </c>
      <c r="L17" s="31"/>
    </row>
    <row r="18" spans="2:12" x14ac:dyDescent="0.45">
      <c r="B18" s="25" t="s">
        <v>21</v>
      </c>
      <c r="C18" s="25" t="s">
        <v>7</v>
      </c>
      <c r="D18" s="25">
        <v>21.42</v>
      </c>
      <c r="E18" s="31"/>
      <c r="F18" s="25">
        <v>73.099999999999994</v>
      </c>
      <c r="G18" s="31"/>
      <c r="H18" s="25">
        <f>D18*F18</f>
        <v>1565.8019999999999</v>
      </c>
      <c r="I18" s="25">
        <v>0.48070000000000002</v>
      </c>
      <c r="J18" s="31"/>
      <c r="K18" s="25">
        <v>1.4075</v>
      </c>
      <c r="L18" s="31"/>
    </row>
    <row r="19" spans="2:12" ht="15.75" x14ac:dyDescent="0.45">
      <c r="B19" s="31"/>
      <c r="C19" s="24" t="s">
        <v>56</v>
      </c>
      <c r="D19" s="31">
        <f>AVERAGE(D14:D18)</f>
        <v>21.904</v>
      </c>
      <c r="E19" s="31"/>
      <c r="F19" s="31">
        <f>AVERAGE(F14:F18)</f>
        <v>73.02000000000001</v>
      </c>
      <c r="G19" s="31"/>
      <c r="H19" s="31">
        <f>AVERAGE(H14:H18)</f>
        <v>1599.5303999999999</v>
      </c>
      <c r="I19" s="31">
        <f>AVERAGE(I14:I18)</f>
        <v>0.48071999999999998</v>
      </c>
      <c r="J19" s="31"/>
      <c r="K19" s="31">
        <f>AVERAGE(K14:K18)</f>
        <v>1.4136000000000002</v>
      </c>
      <c r="L19" s="31"/>
    </row>
    <row r="20" spans="2:12" ht="15.75" x14ac:dyDescent="0.45">
      <c r="B20" s="31"/>
      <c r="C20" s="24" t="s">
        <v>52</v>
      </c>
      <c r="D20" s="31">
        <f>D19*F19</f>
        <v>1599.4300800000003</v>
      </c>
      <c r="E20" s="27"/>
      <c r="F20" s="31"/>
      <c r="G20" s="31"/>
      <c r="H20" s="31"/>
      <c r="I20" s="31"/>
      <c r="J20" s="31"/>
      <c r="K20" s="31"/>
      <c r="L20" s="31"/>
    </row>
    <row r="21" spans="2:12" x14ac:dyDescent="0.45">
      <c r="B21" s="30" t="s">
        <v>9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2:12" s="3" customFormat="1" x14ac:dyDescent="0.45">
      <c r="B22" s="33" t="s">
        <v>62</v>
      </c>
      <c r="C22" s="33" t="s">
        <v>63</v>
      </c>
      <c r="D22" s="33" t="s">
        <v>58</v>
      </c>
      <c r="E22" s="33" t="s">
        <v>47</v>
      </c>
      <c r="F22" s="33" t="s">
        <v>59</v>
      </c>
      <c r="G22" s="33" t="s">
        <v>46</v>
      </c>
      <c r="H22" s="33"/>
      <c r="I22" s="33" t="s">
        <v>48</v>
      </c>
      <c r="J22" s="33" t="s">
        <v>51</v>
      </c>
      <c r="K22" s="33" t="s">
        <v>49</v>
      </c>
      <c r="L22" s="33" t="s">
        <v>50</v>
      </c>
    </row>
    <row r="23" spans="2:12" x14ac:dyDescent="0.45">
      <c r="B23" s="25" t="s">
        <v>20</v>
      </c>
      <c r="C23" s="25" t="s">
        <v>9</v>
      </c>
      <c r="D23" s="25">
        <v>56.48</v>
      </c>
      <c r="E23" s="25">
        <f>_xlfn.STDEV.S(D23:D27)</f>
        <v>1.0633766971304202</v>
      </c>
      <c r="F23" s="25">
        <v>60.1</v>
      </c>
      <c r="G23" s="25">
        <f>_xlfn.STDEV.S(F23:F27)</f>
        <v>1.2589678312014172</v>
      </c>
      <c r="H23" s="25">
        <f>D23*F23</f>
        <v>3394.4479999999999</v>
      </c>
      <c r="I23" s="25" t="s">
        <v>12</v>
      </c>
      <c r="J23" s="25" t="e">
        <f>_xlfn.STDEV.S(I23:I27)</f>
        <v>#DIV/0!</v>
      </c>
      <c r="K23" s="25">
        <v>3.6892</v>
      </c>
      <c r="L23" s="25">
        <f>_xlfn.STDEV.S(K23:K27)</f>
        <v>0.11989951209241853</v>
      </c>
    </row>
    <row r="24" spans="2:12" x14ac:dyDescent="0.45">
      <c r="B24" s="25" t="s">
        <v>20</v>
      </c>
      <c r="C24" s="25" t="s">
        <v>9</v>
      </c>
      <c r="D24" s="25">
        <v>57.35</v>
      </c>
      <c r="E24" s="31"/>
      <c r="F24" s="25">
        <v>62.7</v>
      </c>
      <c r="G24" s="31"/>
      <c r="H24" s="25">
        <f t="shared" ref="H24:H28" si="0">D24*F24</f>
        <v>3595.8450000000003</v>
      </c>
      <c r="I24" s="25" t="s">
        <v>12</v>
      </c>
      <c r="J24" s="31"/>
      <c r="K24" s="25">
        <v>3.6116999999999999</v>
      </c>
      <c r="L24" s="31"/>
    </row>
    <row r="25" spans="2:12" x14ac:dyDescent="0.45">
      <c r="B25" s="25" t="s">
        <v>20</v>
      </c>
      <c r="C25" s="25" t="s">
        <v>9</v>
      </c>
      <c r="D25" s="25">
        <v>58.05</v>
      </c>
      <c r="E25" s="31"/>
      <c r="F25" s="25">
        <v>62.5</v>
      </c>
      <c r="G25" s="31"/>
      <c r="H25" s="25">
        <f t="shared" si="0"/>
        <v>3628.125</v>
      </c>
      <c r="I25" s="25" t="s">
        <v>12</v>
      </c>
      <c r="J25" s="31"/>
      <c r="K25" s="25">
        <v>3.5834999999999999</v>
      </c>
      <c r="L25" s="31"/>
    </row>
    <row r="26" spans="2:12" x14ac:dyDescent="0.45">
      <c r="B26" s="25" t="s">
        <v>20</v>
      </c>
      <c r="C26" s="25" t="s">
        <v>9</v>
      </c>
      <c r="D26" s="25">
        <v>58.66</v>
      </c>
      <c r="E26" s="31"/>
      <c r="F26" s="25">
        <v>63</v>
      </c>
      <c r="G26" s="31"/>
      <c r="H26" s="25">
        <f t="shared" si="0"/>
        <v>3695.58</v>
      </c>
      <c r="I26" s="25" t="s">
        <v>12</v>
      </c>
      <c r="J26" s="31"/>
      <c r="K26" s="25">
        <v>3.8902000000000001</v>
      </c>
      <c r="L26" s="31"/>
    </row>
    <row r="27" spans="2:12" x14ac:dyDescent="0.45">
      <c r="B27" s="25" t="s">
        <v>20</v>
      </c>
      <c r="C27" s="25" t="s">
        <v>9</v>
      </c>
      <c r="D27" s="25">
        <v>59.17</v>
      </c>
      <c r="E27" s="31"/>
      <c r="F27" s="25">
        <v>63.2</v>
      </c>
      <c r="G27" s="31"/>
      <c r="H27" s="25">
        <f t="shared" si="0"/>
        <v>3739.5440000000003</v>
      </c>
      <c r="I27" s="25" t="s">
        <v>12</v>
      </c>
      <c r="J27" s="31"/>
      <c r="K27" s="25">
        <v>3.6917</v>
      </c>
      <c r="L27" s="31"/>
    </row>
    <row r="28" spans="2:12" ht="15.75" x14ac:dyDescent="0.45">
      <c r="B28" s="31"/>
      <c r="C28" s="24" t="s">
        <v>56</v>
      </c>
      <c r="D28" s="31">
        <f>AVERAGE(D23:D27)</f>
        <v>57.941999999999993</v>
      </c>
      <c r="E28" s="31"/>
      <c r="F28" s="31">
        <f>AVERAGE(F23:F27)</f>
        <v>62.3</v>
      </c>
      <c r="G28" s="31"/>
      <c r="H28" s="25">
        <f t="shared" si="0"/>
        <v>3609.7865999999995</v>
      </c>
      <c r="I28" s="31"/>
      <c r="J28" s="31"/>
      <c r="K28" s="31">
        <f>AVERAGE(K23:K27)</f>
        <v>3.69326</v>
      </c>
      <c r="L28" s="31"/>
    </row>
    <row r="29" spans="2:12" ht="15.75" x14ac:dyDescent="0.45">
      <c r="B29" s="31"/>
      <c r="C29" s="24" t="s">
        <v>52</v>
      </c>
      <c r="D29" s="31">
        <f>D28*F28</f>
        <v>3609.7865999999995</v>
      </c>
      <c r="F29" s="31"/>
      <c r="G29" s="31"/>
      <c r="H29" s="31"/>
      <c r="I29" s="31"/>
      <c r="J29" s="31"/>
      <c r="K29" s="31"/>
      <c r="L29" s="31"/>
    </row>
    <row r="30" spans="2:12" x14ac:dyDescent="0.45">
      <c r="B30" s="25" t="s">
        <v>21</v>
      </c>
      <c r="C30" s="25" t="s">
        <v>9</v>
      </c>
      <c r="D30" s="25">
        <v>2888.15</v>
      </c>
      <c r="E30" s="25">
        <f>_xlfn.STDEV.S(D30:D34)</f>
        <v>430.56055979386116</v>
      </c>
      <c r="F30" s="25">
        <v>55.2</v>
      </c>
      <c r="G30" s="25">
        <f>_xlfn.STDEV.S(F30:F34)</f>
        <v>0.68702256149270602</v>
      </c>
      <c r="H30" s="25">
        <f>D30*F30</f>
        <v>159425.88</v>
      </c>
      <c r="I30" s="25" t="s">
        <v>16</v>
      </c>
      <c r="J30" s="31" t="s">
        <v>16</v>
      </c>
      <c r="K30" s="25">
        <v>3.6637</v>
      </c>
      <c r="L30" s="25">
        <f>_xlfn.STDEV.S(K30:K34)</f>
        <v>4.8113127106850999E-2</v>
      </c>
    </row>
    <row r="31" spans="2:12" x14ac:dyDescent="0.45">
      <c r="B31" s="25" t="s">
        <v>21</v>
      </c>
      <c r="C31" s="25" t="s">
        <v>9</v>
      </c>
      <c r="D31" s="25">
        <v>1725.49</v>
      </c>
      <c r="E31" s="31"/>
      <c r="F31" s="25">
        <v>54.1</v>
      </c>
      <c r="G31" s="31"/>
      <c r="H31" s="25">
        <f t="shared" ref="H31:H35" si="1">D31*F31</f>
        <v>93349.009000000005</v>
      </c>
      <c r="I31" s="25" t="s">
        <v>16</v>
      </c>
      <c r="J31" s="31"/>
      <c r="K31" s="25">
        <v>3.6867999999999999</v>
      </c>
      <c r="L31" s="31"/>
    </row>
    <row r="32" spans="2:12" x14ac:dyDescent="0.45">
      <c r="B32" s="25" t="s">
        <v>21</v>
      </c>
      <c r="C32" s="25" t="s">
        <v>9</v>
      </c>
      <c r="D32" s="25">
        <v>2433.27</v>
      </c>
      <c r="E32" s="31"/>
      <c r="F32" s="25">
        <v>56</v>
      </c>
      <c r="G32" s="31"/>
      <c r="H32" s="25">
        <f t="shared" si="1"/>
        <v>136263.12</v>
      </c>
      <c r="I32" s="25" t="s">
        <v>16</v>
      </c>
      <c r="J32" s="31"/>
      <c r="K32" s="25">
        <v>3.629</v>
      </c>
      <c r="L32" s="31"/>
    </row>
    <row r="33" spans="2:12" x14ac:dyDescent="0.45">
      <c r="B33" s="25" t="s">
        <v>21</v>
      </c>
      <c r="C33" s="25" t="s">
        <v>9</v>
      </c>
      <c r="D33" s="25">
        <v>2108.4</v>
      </c>
      <c r="E33" s="31"/>
      <c r="F33" s="25">
        <v>55.4</v>
      </c>
      <c r="G33" s="31"/>
      <c r="H33" s="25">
        <f t="shared" si="1"/>
        <v>116805.36</v>
      </c>
      <c r="I33" s="25" t="s">
        <v>16</v>
      </c>
      <c r="J33" s="31"/>
      <c r="K33" s="25">
        <v>3.6393</v>
      </c>
      <c r="L33" s="31"/>
    </row>
    <row r="34" spans="2:12" x14ac:dyDescent="0.45">
      <c r="B34" s="25" t="s">
        <v>21</v>
      </c>
      <c r="C34" s="25" t="s">
        <v>9</v>
      </c>
      <c r="D34" s="25">
        <v>2168.54</v>
      </c>
      <c r="E34" s="31"/>
      <c r="F34" s="25">
        <v>55.2</v>
      </c>
      <c r="G34" s="31"/>
      <c r="H34" s="25">
        <f t="shared" si="1"/>
        <v>119703.40800000001</v>
      </c>
      <c r="I34" s="25" t="s">
        <v>16</v>
      </c>
      <c r="J34" s="31"/>
      <c r="K34" s="25">
        <v>3.5594999999999999</v>
      </c>
      <c r="L34" s="31"/>
    </row>
    <row r="35" spans="2:12" ht="15.75" x14ac:dyDescent="0.45">
      <c r="B35" s="31"/>
      <c r="C35" s="24" t="s">
        <v>56</v>
      </c>
      <c r="D35" s="31">
        <f>AVERAGE(D30:D34)</f>
        <v>2264.7699999999995</v>
      </c>
      <c r="E35" s="31"/>
      <c r="F35" s="31">
        <f>AVERAGE(F30:F34)</f>
        <v>55.180000000000007</v>
      </c>
      <c r="G35" s="31"/>
      <c r="H35" s="25">
        <f t="shared" si="1"/>
        <v>124970.00859999999</v>
      </c>
      <c r="I35" s="31"/>
      <c r="J35" s="31"/>
      <c r="K35" s="31">
        <f>AVERAGE(K30:K34)</f>
        <v>3.6356600000000001</v>
      </c>
      <c r="L35" s="31"/>
    </row>
    <row r="36" spans="2:12" ht="15.75" x14ac:dyDescent="0.45">
      <c r="B36" s="31"/>
      <c r="C36" s="24" t="s">
        <v>52</v>
      </c>
      <c r="D36" s="31">
        <f>D35*F35</f>
        <v>124970.00859999999</v>
      </c>
      <c r="E36" s="31"/>
      <c r="F36" s="31"/>
      <c r="G36" s="31"/>
      <c r="H36" s="25"/>
      <c r="I36" s="31"/>
      <c r="J36" s="31"/>
      <c r="K36" s="31"/>
      <c r="L36" s="31"/>
    </row>
    <row r="37" spans="2:12" x14ac:dyDescent="0.45">
      <c r="B37" s="30" t="s">
        <v>14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2:12" s="3" customFormat="1" x14ac:dyDescent="0.45">
      <c r="B38" s="33" t="s">
        <v>62</v>
      </c>
      <c r="C38" s="33" t="s">
        <v>63</v>
      </c>
      <c r="D38" s="33" t="s">
        <v>58</v>
      </c>
      <c r="E38" s="33" t="s">
        <v>47</v>
      </c>
      <c r="F38" s="33" t="s">
        <v>59</v>
      </c>
      <c r="G38" s="33" t="s">
        <v>46</v>
      </c>
      <c r="H38" s="33"/>
      <c r="I38" s="33" t="s">
        <v>48</v>
      </c>
      <c r="J38" s="33" t="s">
        <v>51</v>
      </c>
      <c r="K38" s="33" t="s">
        <v>49</v>
      </c>
      <c r="L38" s="33" t="s">
        <v>50</v>
      </c>
    </row>
    <row r="39" spans="2:12" x14ac:dyDescent="0.45">
      <c r="B39" s="25" t="s">
        <v>20</v>
      </c>
      <c r="C39" s="25" t="s">
        <v>14</v>
      </c>
      <c r="D39" s="25">
        <v>26.92</v>
      </c>
      <c r="E39" s="25">
        <f>_xlfn.STDEV.S(D39:D43)</f>
        <v>1.3055075641297527</v>
      </c>
      <c r="F39" s="25">
        <v>82.6</v>
      </c>
      <c r="G39" s="25">
        <f>_xlfn.STDEV.S(F39:F43)</f>
        <v>0.58137767414994479</v>
      </c>
      <c r="H39" s="25">
        <f>D39*F39</f>
        <v>2223.5920000000001</v>
      </c>
      <c r="I39" s="25" t="s">
        <v>15</v>
      </c>
      <c r="J39" s="31" t="s">
        <v>16</v>
      </c>
      <c r="K39" s="25">
        <v>3.2244000000000002</v>
      </c>
      <c r="L39" s="25">
        <f>_xlfn.STDEV.S(K39:K43)</f>
        <v>3.2944013113159185E-2</v>
      </c>
    </row>
    <row r="40" spans="2:12" x14ac:dyDescent="0.45">
      <c r="B40" s="25" t="s">
        <v>20</v>
      </c>
      <c r="C40" s="25" t="s">
        <v>14</v>
      </c>
      <c r="D40" s="25">
        <v>28.15</v>
      </c>
      <c r="E40" s="31"/>
      <c r="F40" s="25">
        <v>83</v>
      </c>
      <c r="G40" s="31"/>
      <c r="H40" s="25">
        <f t="shared" ref="H40:H43" si="2">D40*F40</f>
        <v>2336.4499999999998</v>
      </c>
      <c r="I40" s="25" t="s">
        <v>15</v>
      </c>
      <c r="J40" s="31"/>
      <c r="K40" s="25">
        <v>3.1623999999999999</v>
      </c>
      <c r="L40" s="31"/>
    </row>
    <row r="41" spans="2:12" x14ac:dyDescent="0.45">
      <c r="B41" s="25" t="s">
        <v>20</v>
      </c>
      <c r="C41" s="25" t="s">
        <v>14</v>
      </c>
      <c r="D41" s="25">
        <v>27.31</v>
      </c>
      <c r="E41" s="31"/>
      <c r="F41" s="25">
        <v>83.2</v>
      </c>
      <c r="G41" s="31"/>
      <c r="H41" s="25">
        <f t="shared" si="2"/>
        <v>2272.192</v>
      </c>
      <c r="I41" s="25" t="s">
        <v>15</v>
      </c>
      <c r="J41" s="31"/>
      <c r="K41" s="25">
        <v>3.2029999999999998</v>
      </c>
      <c r="L41" s="31"/>
    </row>
    <row r="42" spans="2:12" x14ac:dyDescent="0.45">
      <c r="B42" s="25" t="s">
        <v>20</v>
      </c>
      <c r="C42" s="25" t="s">
        <v>14</v>
      </c>
      <c r="D42" s="25">
        <v>27.12</v>
      </c>
      <c r="E42" s="31"/>
      <c r="F42" s="25">
        <v>82.8</v>
      </c>
      <c r="G42" s="31"/>
      <c r="H42" s="25">
        <f t="shared" si="2"/>
        <v>2245.5360000000001</v>
      </c>
      <c r="I42" s="25" t="s">
        <v>15</v>
      </c>
      <c r="J42" s="31"/>
      <c r="K42" s="25">
        <v>3.1415999999999999</v>
      </c>
      <c r="L42" s="31"/>
    </row>
    <row r="43" spans="2:12" x14ac:dyDescent="0.45">
      <c r="B43" s="25" t="s">
        <v>20</v>
      </c>
      <c r="C43" s="25" t="s">
        <v>14</v>
      </c>
      <c r="D43" s="25">
        <v>24.65</v>
      </c>
      <c r="E43" s="31"/>
      <c r="F43" s="25">
        <v>84.1</v>
      </c>
      <c r="G43" s="31"/>
      <c r="H43" s="25">
        <f t="shared" si="2"/>
        <v>2073.0649999999996</v>
      </c>
      <c r="I43" s="25" t="s">
        <v>15</v>
      </c>
      <c r="J43" s="31"/>
      <c r="K43" s="25">
        <v>3.1934</v>
      </c>
      <c r="L43" s="31"/>
    </row>
    <row r="44" spans="2:12" ht="15.75" x14ac:dyDescent="0.45">
      <c r="B44" s="31"/>
      <c r="C44" s="24" t="s">
        <v>56</v>
      </c>
      <c r="D44" s="31">
        <f>AVERAGE(D39:D43)</f>
        <v>26.830000000000002</v>
      </c>
      <c r="E44" s="31"/>
      <c r="F44" s="31">
        <f>AVERAGE(F39:F43)</f>
        <v>83.140000000000015</v>
      </c>
      <c r="G44" s="31">
        <f>D44*F44</f>
        <v>2230.6462000000006</v>
      </c>
      <c r="H44" s="31">
        <f>AVERAGE(H39:H43)</f>
        <v>2230.1669999999999</v>
      </c>
      <c r="I44" s="31"/>
      <c r="J44" s="31"/>
      <c r="K44" s="31">
        <f>AVERAGE(K39:K43)</f>
        <v>3.1849600000000002</v>
      </c>
      <c r="L44" s="31"/>
    </row>
    <row r="45" spans="2:12" ht="15.75" x14ac:dyDescent="0.45">
      <c r="B45" s="27"/>
      <c r="C45" s="24" t="s">
        <v>52</v>
      </c>
      <c r="D45" s="27">
        <f>D44*F44</f>
        <v>2230.6462000000006</v>
      </c>
      <c r="E45" s="27"/>
      <c r="F45" s="27"/>
      <c r="G45" s="27"/>
      <c r="H45" s="27"/>
      <c r="I45" s="27"/>
      <c r="J45" s="27"/>
      <c r="K45" s="27"/>
      <c r="L45" s="27"/>
    </row>
    <row r="46" spans="2:12" x14ac:dyDescent="0.45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2:12" ht="15.75" x14ac:dyDescent="0.45">
      <c r="B47" s="26" t="s">
        <v>21</v>
      </c>
      <c r="C47" s="26" t="s">
        <v>14</v>
      </c>
      <c r="D47" s="26">
        <v>24.65</v>
      </c>
      <c r="E47" s="26">
        <f>_xlfn.STDEV.S(D47:D51)</f>
        <v>5.6833088953531015E-2</v>
      </c>
      <c r="F47" s="26">
        <v>89.4</v>
      </c>
      <c r="G47" s="26">
        <f>_xlfn.STDEV.S(F47:F51)</f>
        <v>0.9071934744033433</v>
      </c>
      <c r="H47" s="26">
        <f>D47*F47</f>
        <v>2203.71</v>
      </c>
      <c r="I47" s="26" t="s">
        <v>12</v>
      </c>
      <c r="J47" s="27" t="s">
        <v>16</v>
      </c>
      <c r="K47" s="26">
        <v>3.1934</v>
      </c>
      <c r="L47" s="26">
        <f>_xlfn.STDEV.S(K47:K51)</f>
        <v>1.5398149239437796E-2</v>
      </c>
    </row>
    <row r="48" spans="2:12" ht="15.75" x14ac:dyDescent="0.45">
      <c r="B48" s="26" t="s">
        <v>21</v>
      </c>
      <c r="C48" s="26" t="s">
        <v>14</v>
      </c>
      <c r="D48" s="26">
        <v>24.64</v>
      </c>
      <c r="E48" s="27"/>
      <c r="F48" s="26">
        <v>87.1</v>
      </c>
      <c r="G48" s="27"/>
      <c r="H48" s="26">
        <f t="shared" ref="H48:H51" si="3">D48*F48</f>
        <v>2146.1439999999998</v>
      </c>
      <c r="I48" s="26" t="s">
        <v>12</v>
      </c>
      <c r="J48" s="27"/>
      <c r="K48" s="26">
        <v>3.1962999999999999</v>
      </c>
      <c r="L48" s="27"/>
    </row>
    <row r="49" spans="2:12" ht="15.75" x14ac:dyDescent="0.45">
      <c r="B49" s="26" t="s">
        <v>21</v>
      </c>
      <c r="C49" s="26" t="s">
        <v>14</v>
      </c>
      <c r="D49" s="26">
        <v>24.55</v>
      </c>
      <c r="E49" s="27"/>
      <c r="F49" s="26">
        <v>88.9</v>
      </c>
      <c r="G49" s="27"/>
      <c r="H49" s="26">
        <f t="shared" si="3"/>
        <v>2182.4950000000003</v>
      </c>
      <c r="I49" s="26" t="s">
        <v>12</v>
      </c>
      <c r="J49" s="27"/>
      <c r="K49" s="26">
        <v>3.1827000000000001</v>
      </c>
      <c r="L49" s="27"/>
    </row>
    <row r="50" spans="2:12" ht="15.75" x14ac:dyDescent="0.45">
      <c r="B50" s="26" t="s">
        <v>21</v>
      </c>
      <c r="C50" s="26" t="s">
        <v>14</v>
      </c>
      <c r="D50" s="26">
        <v>24.52</v>
      </c>
      <c r="E50" s="27"/>
      <c r="F50" s="26">
        <v>87.8</v>
      </c>
      <c r="G50" s="27"/>
      <c r="H50" s="26">
        <f t="shared" si="3"/>
        <v>2152.8559999999998</v>
      </c>
      <c r="I50" s="26" t="s">
        <v>12</v>
      </c>
      <c r="J50" s="27"/>
      <c r="K50" s="26">
        <v>3.2134</v>
      </c>
      <c r="L50" s="27"/>
    </row>
    <row r="51" spans="2:12" ht="15.75" x14ac:dyDescent="0.45">
      <c r="B51" s="26" t="s">
        <v>21</v>
      </c>
      <c r="C51" s="26" t="s">
        <v>14</v>
      </c>
      <c r="D51" s="26">
        <v>24.61</v>
      </c>
      <c r="E51" s="27"/>
      <c r="F51" s="26">
        <v>88.1</v>
      </c>
      <c r="G51" s="27"/>
      <c r="H51" s="26">
        <f t="shared" si="3"/>
        <v>2168.1409999999996</v>
      </c>
      <c r="I51" s="26" t="s">
        <v>12</v>
      </c>
      <c r="J51" s="27"/>
      <c r="K51" s="26">
        <v>3.1724000000000001</v>
      </c>
      <c r="L51" s="27"/>
    </row>
    <row r="52" spans="2:12" ht="15.75" x14ac:dyDescent="0.45">
      <c r="B52" s="26"/>
      <c r="C52" s="24" t="s">
        <v>56</v>
      </c>
      <c r="D52" s="26">
        <f>AVERAGE(D47:D51)</f>
        <v>24.594000000000001</v>
      </c>
      <c r="E52" s="27"/>
      <c r="F52" s="26">
        <f>AVERAGE(F47:F51)</f>
        <v>88.259999999999991</v>
      </c>
      <c r="G52" s="27">
        <f>D52*F52</f>
        <v>2170.66644</v>
      </c>
      <c r="H52" s="27">
        <f>AVERAGE(H47:H51)</f>
        <v>2170.6691999999998</v>
      </c>
      <c r="I52" s="26"/>
      <c r="J52" s="27"/>
      <c r="K52" s="27">
        <f>AVERAGE(K47:K51)</f>
        <v>3.19164</v>
      </c>
      <c r="L52" s="27"/>
    </row>
    <row r="53" spans="2:12" ht="15.75" x14ac:dyDescent="0.45">
      <c r="B53" s="13"/>
      <c r="C53" s="23" t="s">
        <v>52</v>
      </c>
      <c r="D53" s="27">
        <f>D52*F52</f>
        <v>2170.66644</v>
      </c>
      <c r="F53" s="13"/>
      <c r="H53" s="13"/>
      <c r="I53" s="13"/>
      <c r="K53" s="13"/>
    </row>
    <row r="54" spans="2:12" ht="25.5" x14ac:dyDescent="0.75">
      <c r="B54" s="16" t="s">
        <v>44</v>
      </c>
      <c r="C54" s="13"/>
      <c r="D54" s="13"/>
      <c r="F54" s="13"/>
      <c r="H54" s="13"/>
      <c r="I54" s="13"/>
      <c r="K54" s="13"/>
    </row>
    <row r="55" spans="2:12" s="3" customFormat="1" x14ac:dyDescent="0.45">
      <c r="B55" s="33" t="s">
        <v>62</v>
      </c>
      <c r="C55" s="33" t="s">
        <v>63</v>
      </c>
      <c r="D55" s="33" t="s">
        <v>58</v>
      </c>
      <c r="E55" s="33" t="s">
        <v>47</v>
      </c>
      <c r="F55" s="33" t="s">
        <v>59</v>
      </c>
      <c r="G55" s="33" t="s">
        <v>46</v>
      </c>
      <c r="H55" s="33"/>
      <c r="I55" s="33" t="s">
        <v>48</v>
      </c>
      <c r="J55" s="33" t="s">
        <v>51</v>
      </c>
      <c r="K55" s="33" t="s">
        <v>49</v>
      </c>
      <c r="L55" s="33" t="s">
        <v>50</v>
      </c>
    </row>
    <row r="56" spans="2:12" ht="31.9" thickBot="1" x14ac:dyDescent="0.5">
      <c r="B56" s="26" t="s">
        <v>20</v>
      </c>
      <c r="C56" s="26" t="s">
        <v>10</v>
      </c>
      <c r="D56" s="26">
        <v>82.25</v>
      </c>
      <c r="E56" s="26">
        <f>_xlfn.STDEV.S(D56:D60)</f>
        <v>7.6026311234993524E-2</v>
      </c>
      <c r="F56" s="26">
        <v>32.700000000000003</v>
      </c>
      <c r="G56" s="26">
        <f>_xlfn.STDEV.S(F56:F60)</f>
        <v>1.297304898626378</v>
      </c>
      <c r="H56" s="26">
        <f>E56*F56</f>
        <v>2.4860603773842884</v>
      </c>
      <c r="I56" s="26">
        <v>0.29849999999999999</v>
      </c>
      <c r="J56" s="26">
        <f>_xlfn.STDEV.S(I56:I60)</f>
        <v>2.8331960751066857E-3</v>
      </c>
      <c r="K56" s="26">
        <v>1.5532999999999999</v>
      </c>
      <c r="L56" s="9">
        <f>_xlfn.STDEV.S(K56:K60)</f>
        <v>1.7426990560621767E-3</v>
      </c>
    </row>
    <row r="57" spans="2:12" ht="31.5" x14ac:dyDescent="0.45">
      <c r="B57" s="26" t="s">
        <v>20</v>
      </c>
      <c r="C57" s="26" t="s">
        <v>10</v>
      </c>
      <c r="D57" s="26">
        <v>82.31</v>
      </c>
      <c r="E57" s="26"/>
      <c r="F57" s="26">
        <v>33.9</v>
      </c>
      <c r="G57" s="27"/>
      <c r="H57" s="26">
        <f>E57*F57</f>
        <v>0</v>
      </c>
      <c r="I57" s="26">
        <v>0.29160000000000003</v>
      </c>
      <c r="J57" s="27"/>
      <c r="K57" s="26">
        <v>1.5524</v>
      </c>
    </row>
    <row r="58" spans="2:12" ht="31.5" x14ac:dyDescent="0.45">
      <c r="B58" s="26" t="s">
        <v>20</v>
      </c>
      <c r="C58" s="26" t="s">
        <v>10</v>
      </c>
      <c r="D58" s="26">
        <v>82.21</v>
      </c>
      <c r="E58" s="26"/>
      <c r="F58" s="26">
        <v>35.6</v>
      </c>
      <c r="G58" s="27"/>
      <c r="H58" s="26">
        <f>E58*F58</f>
        <v>0</v>
      </c>
      <c r="I58" s="26">
        <v>0.29759999999999998</v>
      </c>
      <c r="J58" s="27"/>
      <c r="K58" s="26">
        <v>1.5567</v>
      </c>
    </row>
    <row r="59" spans="2:12" s="22" customFormat="1" ht="31.5" x14ac:dyDescent="0.45">
      <c r="B59" s="28" t="s">
        <v>20</v>
      </c>
      <c r="C59" s="28" t="s">
        <v>10</v>
      </c>
      <c r="D59" s="28">
        <v>82.16</v>
      </c>
      <c r="E59" s="28"/>
      <c r="F59" s="28">
        <v>35.4</v>
      </c>
      <c r="G59" s="29"/>
      <c r="H59" s="28">
        <f>E59*F59</f>
        <v>0</v>
      </c>
      <c r="I59" s="28">
        <v>0.29649999999999999</v>
      </c>
      <c r="J59" s="29"/>
      <c r="K59" s="28">
        <v>1.5552999999999999</v>
      </c>
    </row>
    <row r="60" spans="2:12" s="22" customFormat="1" ht="31.5" x14ac:dyDescent="0.45">
      <c r="B60" s="28" t="s">
        <v>20</v>
      </c>
      <c r="C60" s="28" t="s">
        <v>10</v>
      </c>
      <c r="D60" s="28">
        <v>82.35</v>
      </c>
      <c r="E60" s="28"/>
      <c r="F60" s="28">
        <v>33.200000000000003</v>
      </c>
      <c r="G60" s="29"/>
      <c r="H60" s="28">
        <f>E60*F60</f>
        <v>0</v>
      </c>
      <c r="I60" s="28">
        <v>0.29820000000000002</v>
      </c>
      <c r="J60" s="29"/>
      <c r="K60" s="28">
        <v>1.5533999999999999</v>
      </c>
    </row>
    <row r="61" spans="2:12" ht="15.75" x14ac:dyDescent="0.45">
      <c r="B61" s="27"/>
      <c r="C61" s="24" t="s">
        <v>56</v>
      </c>
      <c r="D61" s="26">
        <f>AVERAGE(D56:D60)</f>
        <v>82.256</v>
      </c>
      <c r="E61" s="27"/>
      <c r="F61" s="26">
        <f>AVERAGE(F56:F60)</f>
        <v>34.160000000000004</v>
      </c>
      <c r="G61" s="27"/>
      <c r="H61" s="27"/>
      <c r="I61" s="26">
        <f>AVERAGE(I56:I60)</f>
        <v>0.29648000000000002</v>
      </c>
      <c r="J61" s="27"/>
      <c r="K61" s="26">
        <f>AVERAGE(K56:K60)</f>
        <v>1.5542199999999999</v>
      </c>
    </row>
    <row r="62" spans="2:12" ht="15.75" x14ac:dyDescent="0.45">
      <c r="B62" s="27"/>
      <c r="C62" s="24" t="s">
        <v>52</v>
      </c>
      <c r="D62" s="27">
        <f>D61*F61</f>
        <v>2809.8649600000003</v>
      </c>
      <c r="F62" s="27"/>
      <c r="G62" s="27"/>
      <c r="H62" s="27"/>
      <c r="I62" s="27"/>
      <c r="J62" s="27"/>
      <c r="K62" s="27"/>
    </row>
    <row r="63" spans="2:12" x14ac:dyDescent="0.45"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2:12" ht="31.9" thickBot="1" x14ac:dyDescent="0.5">
      <c r="B64" s="26" t="s">
        <v>21</v>
      </c>
      <c r="C64" s="26" t="s">
        <v>10</v>
      </c>
      <c r="D64" s="26">
        <v>15.48</v>
      </c>
      <c r="E64" s="26">
        <f>_xlfn.STDEV.S(D64:D68)</f>
        <v>0.92775535568381418</v>
      </c>
      <c r="F64" s="26">
        <v>30.5</v>
      </c>
      <c r="G64" s="26">
        <f>_xlfn.STDEV.S(F64:F68)</f>
        <v>0.77910204723129795</v>
      </c>
      <c r="H64" s="26">
        <f>D64*F64</f>
        <v>472.14</v>
      </c>
      <c r="I64" s="26">
        <v>0.21859999999999999</v>
      </c>
      <c r="J64" s="26">
        <f>_xlfn.STDEV.S(I64:I68)</f>
        <v>7.1637978754289277E-3</v>
      </c>
      <c r="K64" s="26">
        <v>1.8626</v>
      </c>
      <c r="L64" s="9">
        <f>_xlfn.STDEV.S(K64:K68)</f>
        <v>3.7482702677368397E-2</v>
      </c>
    </row>
    <row r="65" spans="2:12" ht="31.5" x14ac:dyDescent="0.45">
      <c r="B65" s="26" t="s">
        <v>21</v>
      </c>
      <c r="C65" s="26" t="s">
        <v>10</v>
      </c>
      <c r="D65" s="26">
        <v>13.33</v>
      </c>
      <c r="E65" s="27"/>
      <c r="F65" s="26">
        <v>29.7</v>
      </c>
      <c r="G65" s="27"/>
      <c r="H65" s="26">
        <f t="shared" ref="H65:H68" si="4">D65*F65</f>
        <v>395.90100000000001</v>
      </c>
      <c r="I65" s="26">
        <v>0.22309999999999999</v>
      </c>
      <c r="J65" s="27"/>
      <c r="K65" s="26">
        <v>1.7675000000000001</v>
      </c>
    </row>
    <row r="66" spans="2:12" ht="31.5" x14ac:dyDescent="0.45">
      <c r="B66" s="26" t="s">
        <v>21</v>
      </c>
      <c r="C66" s="26" t="s">
        <v>10</v>
      </c>
      <c r="D66" s="26">
        <v>13.59</v>
      </c>
      <c r="E66" s="27"/>
      <c r="F66" s="26">
        <v>29.4</v>
      </c>
      <c r="G66" s="27"/>
      <c r="H66" s="26">
        <f t="shared" si="4"/>
        <v>399.54599999999999</v>
      </c>
      <c r="I66" s="26">
        <v>0.21679999999999999</v>
      </c>
      <c r="J66" s="27"/>
      <c r="K66" s="26">
        <v>1.8086</v>
      </c>
    </row>
    <row r="67" spans="2:12" ht="31.5" x14ac:dyDescent="0.45">
      <c r="B67" s="26" t="s">
        <v>21</v>
      </c>
      <c r="C67" s="26" t="s">
        <v>10</v>
      </c>
      <c r="D67" s="26">
        <v>13.18</v>
      </c>
      <c r="E67" s="27"/>
      <c r="F67" s="26">
        <v>28.6</v>
      </c>
      <c r="G67" s="27"/>
      <c r="H67" s="26">
        <f t="shared" si="4"/>
        <v>376.94800000000004</v>
      </c>
      <c r="I67" s="26">
        <v>0.21640000000000001</v>
      </c>
      <c r="J67" s="27"/>
      <c r="K67" s="26">
        <v>1.786</v>
      </c>
    </row>
    <row r="68" spans="2:12" ht="31.5" x14ac:dyDescent="0.45">
      <c r="B68" s="26" t="s">
        <v>21</v>
      </c>
      <c r="C68" s="26" t="s">
        <v>10</v>
      </c>
      <c r="D68" s="26">
        <v>13.99</v>
      </c>
      <c r="E68" s="27"/>
      <c r="F68" s="26">
        <v>28.7</v>
      </c>
      <c r="G68" s="27"/>
      <c r="H68" s="26">
        <f t="shared" si="4"/>
        <v>401.51299999999998</v>
      </c>
      <c r="I68" s="26">
        <v>0.2336</v>
      </c>
      <c r="J68" s="27"/>
      <c r="K68" s="26">
        <v>1.7805</v>
      </c>
    </row>
    <row r="69" spans="2:12" ht="15.75" x14ac:dyDescent="0.45">
      <c r="B69" s="27"/>
      <c r="C69" s="24" t="s">
        <v>56</v>
      </c>
      <c r="D69" s="26">
        <f>AVERAGE(D64:D68)</f>
        <v>13.914000000000001</v>
      </c>
      <c r="E69" s="27"/>
      <c r="F69" s="26">
        <f>AVERAGE(F64:F68)</f>
        <v>29.379999999999995</v>
      </c>
      <c r="G69" s="27"/>
      <c r="H69" s="27"/>
      <c r="I69" s="26">
        <f>AVERAGE(I64:I68)</f>
        <v>0.22170000000000001</v>
      </c>
      <c r="J69" s="27"/>
      <c r="K69" s="26">
        <f>AVERAGE(K64:K68)</f>
        <v>1.80104</v>
      </c>
    </row>
    <row r="70" spans="2:12" ht="15.75" x14ac:dyDescent="0.45">
      <c r="B70" s="27"/>
      <c r="C70" s="24" t="s">
        <v>52</v>
      </c>
      <c r="D70" s="27">
        <f>D69*F69</f>
        <v>408.79331999999999</v>
      </c>
      <c r="F70" s="27"/>
      <c r="G70" s="27"/>
      <c r="H70" s="27"/>
      <c r="I70" s="27"/>
      <c r="J70" s="27"/>
      <c r="K70" s="27"/>
    </row>
    <row r="72" spans="2:12" ht="25.5" x14ac:dyDescent="0.75">
      <c r="B72" s="16" t="s">
        <v>45</v>
      </c>
    </row>
    <row r="73" spans="2:12" s="3" customFormat="1" x14ac:dyDescent="0.45">
      <c r="B73" s="33" t="s">
        <v>62</v>
      </c>
      <c r="C73" s="33" t="s">
        <v>63</v>
      </c>
      <c r="D73" s="33" t="s">
        <v>58</v>
      </c>
      <c r="E73" s="33" t="s">
        <v>47</v>
      </c>
      <c r="F73" s="33" t="s">
        <v>59</v>
      </c>
      <c r="G73" s="33" t="s">
        <v>46</v>
      </c>
      <c r="H73" s="33"/>
      <c r="I73" s="33" t="s">
        <v>48</v>
      </c>
      <c r="J73" s="33" t="s">
        <v>51</v>
      </c>
      <c r="K73" s="33" t="s">
        <v>49</v>
      </c>
      <c r="L73" s="33" t="s">
        <v>50</v>
      </c>
    </row>
    <row r="74" spans="2:12" ht="15.75" x14ac:dyDescent="0.45">
      <c r="B74" s="26" t="s">
        <v>20</v>
      </c>
      <c r="C74" s="26" t="s">
        <v>11</v>
      </c>
      <c r="D74" s="26">
        <v>33.159999999999997</v>
      </c>
      <c r="E74" s="26">
        <f>_xlfn.STDEV.S(D74:D78)</f>
        <v>0.17421251390184203</v>
      </c>
      <c r="F74" s="26">
        <v>67.8</v>
      </c>
      <c r="G74" s="26">
        <f>_xlfn.STDEV.S(F74:F78)</f>
        <v>0.35355339059327578</v>
      </c>
      <c r="H74" s="26">
        <f>D74*F74</f>
        <v>2248.2479999999996</v>
      </c>
      <c r="I74" s="26">
        <v>0.81499999999999995</v>
      </c>
      <c r="J74" s="26">
        <f>_xlfn.STDEV.S(I74:I78)</f>
        <v>1.2412670766236366E-16</v>
      </c>
      <c r="K74" s="26" t="s">
        <v>16</v>
      </c>
    </row>
    <row r="75" spans="2:12" ht="15.75" x14ac:dyDescent="0.45">
      <c r="B75" s="26" t="s">
        <v>20</v>
      </c>
      <c r="C75" s="26" t="s">
        <v>11</v>
      </c>
      <c r="D75" s="26">
        <v>32.79</v>
      </c>
      <c r="E75" s="27"/>
      <c r="F75" s="26">
        <v>68.2</v>
      </c>
      <c r="G75" s="27"/>
      <c r="H75" s="26">
        <f t="shared" ref="H75:H78" si="5">D75*F75</f>
        <v>2236.2780000000002</v>
      </c>
      <c r="I75" s="26">
        <v>0.81499999999999995</v>
      </c>
      <c r="J75" s="27"/>
      <c r="K75" s="26" t="s">
        <v>16</v>
      </c>
    </row>
    <row r="76" spans="2:12" ht="15.75" x14ac:dyDescent="0.45">
      <c r="B76" s="26" t="s">
        <v>20</v>
      </c>
      <c r="C76" s="26" t="s">
        <v>11</v>
      </c>
      <c r="D76" s="26">
        <v>32.840000000000003</v>
      </c>
      <c r="E76" s="27"/>
      <c r="F76" s="26">
        <v>67.5</v>
      </c>
      <c r="G76" s="27"/>
      <c r="H76" s="26">
        <f t="shared" si="5"/>
        <v>2216.7000000000003</v>
      </c>
      <c r="I76" s="26">
        <v>0.81499999999999995</v>
      </c>
      <c r="J76" s="27"/>
      <c r="K76" s="26" t="s">
        <v>16</v>
      </c>
    </row>
    <row r="77" spans="2:12" ht="15.75" x14ac:dyDescent="0.45">
      <c r="B77" s="26" t="s">
        <v>20</v>
      </c>
      <c r="C77" s="26" t="s">
        <v>11</v>
      </c>
      <c r="D77" s="26">
        <v>32.799999999999997</v>
      </c>
      <c r="E77" s="27"/>
      <c r="F77" s="26">
        <v>68.099999999999994</v>
      </c>
      <c r="G77" s="27"/>
      <c r="H77" s="26">
        <f t="shared" si="5"/>
        <v>2233.6799999999998</v>
      </c>
      <c r="I77" s="26">
        <v>0.81499999999999995</v>
      </c>
      <c r="J77" s="27"/>
      <c r="K77" s="26" t="s">
        <v>16</v>
      </c>
    </row>
    <row r="78" spans="2:12" ht="15.75" x14ac:dyDescent="0.45">
      <c r="B78" s="26" t="s">
        <v>20</v>
      </c>
      <c r="C78" s="26" t="s">
        <v>11</v>
      </c>
      <c r="D78" s="26">
        <v>32.71</v>
      </c>
      <c r="E78" s="27"/>
      <c r="F78" s="26">
        <v>68.400000000000006</v>
      </c>
      <c r="G78" s="27"/>
      <c r="H78" s="26">
        <f t="shared" si="5"/>
        <v>2237.364</v>
      </c>
      <c r="I78" s="26">
        <v>0.81499999999999995</v>
      </c>
      <c r="J78" s="27"/>
      <c r="K78" s="26" t="s">
        <v>16</v>
      </c>
    </row>
    <row r="79" spans="2:12" ht="15.75" x14ac:dyDescent="0.45">
      <c r="B79" s="27"/>
      <c r="C79" s="24" t="s">
        <v>56</v>
      </c>
      <c r="D79" s="26">
        <f>AVERAGE(D74:D78)</f>
        <v>32.86</v>
      </c>
      <c r="E79" s="27"/>
      <c r="F79" s="26">
        <f>AVERAGE(F74:F78)</f>
        <v>68</v>
      </c>
      <c r="G79" s="27"/>
      <c r="H79" s="27">
        <f>AVERAGE(H74:H78)</f>
        <v>2234.4540000000002</v>
      </c>
      <c r="I79" s="26">
        <f>AVERAGE(I74:I78)</f>
        <v>0.81499999999999984</v>
      </c>
      <c r="J79" s="27"/>
      <c r="K79" s="27"/>
    </row>
    <row r="80" spans="2:12" ht="15.75" x14ac:dyDescent="0.45">
      <c r="C80" s="23" t="s">
        <v>52</v>
      </c>
      <c r="D80">
        <f>D79*F79</f>
        <v>2234.48</v>
      </c>
    </row>
    <row r="82" spans="2:11" ht="47.25" x14ac:dyDescent="0.45">
      <c r="B82" s="26" t="s">
        <v>21</v>
      </c>
      <c r="C82" s="26" t="s">
        <v>11</v>
      </c>
      <c r="D82" s="26" t="s">
        <v>13</v>
      </c>
      <c r="E82" s="27"/>
      <c r="F82" s="26" t="s">
        <v>13</v>
      </c>
      <c r="G82" s="27"/>
      <c r="H82" s="26" t="s">
        <v>13</v>
      </c>
      <c r="I82" s="26" t="s">
        <v>16</v>
      </c>
      <c r="J82" s="27"/>
      <c r="K82" s="26" t="s">
        <v>16</v>
      </c>
    </row>
    <row r="83" spans="2:11" ht="47.25" x14ac:dyDescent="0.45">
      <c r="B83" s="26" t="s">
        <v>21</v>
      </c>
      <c r="C83" s="26" t="s">
        <v>11</v>
      </c>
      <c r="D83" s="26" t="s">
        <v>13</v>
      </c>
      <c r="E83" s="27"/>
      <c r="F83" s="26" t="s">
        <v>13</v>
      </c>
      <c r="G83" s="27"/>
      <c r="H83" s="26" t="s">
        <v>13</v>
      </c>
      <c r="I83" s="26" t="s">
        <v>16</v>
      </c>
      <c r="J83" s="27"/>
      <c r="K83" s="26" t="s">
        <v>16</v>
      </c>
    </row>
    <row r="84" spans="2:11" ht="47.25" x14ac:dyDescent="0.45">
      <c r="B84" s="26" t="s">
        <v>21</v>
      </c>
      <c r="C84" s="26" t="s">
        <v>11</v>
      </c>
      <c r="D84" s="26" t="s">
        <v>13</v>
      </c>
      <c r="E84" s="27"/>
      <c r="F84" s="26" t="s">
        <v>13</v>
      </c>
      <c r="G84" s="27"/>
      <c r="H84" s="26" t="s">
        <v>13</v>
      </c>
      <c r="I84" s="26" t="s">
        <v>16</v>
      </c>
      <c r="J84" s="27"/>
      <c r="K84" s="26" t="s">
        <v>16</v>
      </c>
    </row>
    <row r="85" spans="2:11" ht="47.25" x14ac:dyDescent="0.45">
      <c r="B85" s="26" t="s">
        <v>21</v>
      </c>
      <c r="C85" s="26" t="s">
        <v>11</v>
      </c>
      <c r="D85" s="26" t="s">
        <v>13</v>
      </c>
      <c r="E85" s="27"/>
      <c r="F85" s="26" t="s">
        <v>13</v>
      </c>
      <c r="G85" s="27"/>
      <c r="H85" s="26" t="s">
        <v>13</v>
      </c>
      <c r="I85" s="26" t="s">
        <v>16</v>
      </c>
      <c r="J85" s="27"/>
      <c r="K85" s="26" t="s">
        <v>16</v>
      </c>
    </row>
    <row r="86" spans="2:11" ht="47.25" x14ac:dyDescent="0.45">
      <c r="B86" s="26" t="s">
        <v>21</v>
      </c>
      <c r="C86" s="26" t="s">
        <v>11</v>
      </c>
      <c r="D86" s="26" t="s">
        <v>13</v>
      </c>
      <c r="E86" s="27"/>
      <c r="F86" s="26" t="s">
        <v>13</v>
      </c>
      <c r="G86" s="27"/>
      <c r="H86" s="26" t="s">
        <v>13</v>
      </c>
      <c r="I86" s="26" t="s">
        <v>16</v>
      </c>
      <c r="J86" s="27"/>
      <c r="K86" s="26" t="s">
        <v>16</v>
      </c>
    </row>
    <row r="87" spans="2:11" x14ac:dyDescent="0.45">
      <c r="B87" s="27"/>
      <c r="C87" s="27"/>
      <c r="D87" s="27"/>
      <c r="E87" s="27"/>
      <c r="F87" s="27"/>
      <c r="G87" s="27"/>
      <c r="H87" s="27"/>
      <c r="I87" s="27"/>
      <c r="J87" s="27"/>
      <c r="K87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E53D-717D-4685-971F-608FE5ACE2A1}">
  <dimension ref="B2:K96"/>
  <sheetViews>
    <sheetView workbookViewId="0">
      <selection activeCell="D45" sqref="D45"/>
    </sheetView>
  </sheetViews>
  <sheetFormatPr defaultRowHeight="14.25" x14ac:dyDescent="0.45"/>
  <cols>
    <col min="4" max="4" width="14.53125" bestFit="1" customWidth="1"/>
    <col min="6" max="6" width="14.53125" bestFit="1" customWidth="1"/>
    <col min="9" max="9" width="14.53125" bestFit="1" customWidth="1"/>
    <col min="11" max="11" width="14.53125" bestFit="1" customWidth="1"/>
  </cols>
  <sheetData>
    <row r="2" spans="2:11" ht="17.649999999999999" x14ac:dyDescent="0.45">
      <c r="B2" s="11" t="s">
        <v>39</v>
      </c>
      <c r="D2" s="21" t="s">
        <v>47</v>
      </c>
      <c r="E2" s="21"/>
      <c r="F2" s="21" t="s">
        <v>47</v>
      </c>
      <c r="G2" s="21"/>
      <c r="H2" s="21"/>
      <c r="I2" s="21" t="s">
        <v>47</v>
      </c>
      <c r="J2" s="21"/>
      <c r="K2" s="21" t="s">
        <v>47</v>
      </c>
    </row>
    <row r="3" spans="2:11" ht="28.9" thickBot="1" x14ac:dyDescent="0.5">
      <c r="B3" s="2" t="s">
        <v>1</v>
      </c>
      <c r="C3" s="2" t="s">
        <v>58</v>
      </c>
      <c r="D3" s="9">
        <f>_xlfn.STDEV.S(C4:C8)</f>
        <v>6.2376093176793495</v>
      </c>
      <c r="E3" s="2" t="s">
        <v>59</v>
      </c>
      <c r="F3" s="9">
        <f>_xlfn.STDEV.S(E4:E8)</f>
        <v>0.78866976612521333</v>
      </c>
      <c r="G3" s="2" t="s">
        <v>60</v>
      </c>
      <c r="H3" s="2" t="s">
        <v>61</v>
      </c>
      <c r="I3" s="9">
        <f>_xlfn.STDEV.S(H4:H8)</f>
        <v>4.8370445522033486E-3</v>
      </c>
      <c r="J3" s="2" t="s">
        <v>5</v>
      </c>
      <c r="K3" s="9">
        <f>_xlfn.STDEV.S(J4:J8)</f>
        <v>1.2525094810020419E-2</v>
      </c>
    </row>
    <row r="4" spans="2:11" ht="28.5" x14ac:dyDescent="0.45">
      <c r="B4" s="1" t="s">
        <v>18</v>
      </c>
      <c r="C4" s="1">
        <v>277.93</v>
      </c>
      <c r="E4" s="1">
        <v>85.2</v>
      </c>
      <c r="G4" s="1">
        <v>23562</v>
      </c>
      <c r="H4" s="1">
        <v>0.4783</v>
      </c>
      <c r="J4" s="1">
        <v>1.4181999999999999</v>
      </c>
    </row>
    <row r="5" spans="2:11" ht="28.5" x14ac:dyDescent="0.45">
      <c r="B5" s="1" t="s">
        <v>18</v>
      </c>
      <c r="C5" s="1">
        <v>287.10000000000002</v>
      </c>
      <c r="E5" s="1">
        <v>84.2</v>
      </c>
      <c r="G5" s="1">
        <v>23562</v>
      </c>
      <c r="H5" s="1">
        <v>0.48149999999999998</v>
      </c>
      <c r="J5" s="1">
        <v>1.4108000000000001</v>
      </c>
    </row>
    <row r="6" spans="2:11" ht="28.5" x14ac:dyDescent="0.45">
      <c r="B6" s="1" t="s">
        <v>18</v>
      </c>
      <c r="C6" s="1">
        <v>273.02999999999997</v>
      </c>
      <c r="E6" s="1">
        <v>85.6</v>
      </c>
      <c r="G6" s="1">
        <v>23562</v>
      </c>
      <c r="H6" s="1">
        <v>0.46899999999999997</v>
      </c>
      <c r="J6" s="1">
        <v>1.4407000000000001</v>
      </c>
    </row>
    <row r="7" spans="2:11" ht="28.5" x14ac:dyDescent="0.45">
      <c r="B7" s="1" t="s">
        <v>18</v>
      </c>
      <c r="C7" s="1">
        <v>270.89999999999998</v>
      </c>
      <c r="E7" s="1">
        <v>85.8</v>
      </c>
      <c r="G7" s="1">
        <v>23562</v>
      </c>
      <c r="H7" s="1">
        <v>0.47399999999999998</v>
      </c>
      <c r="J7" s="1">
        <v>1.4343999999999999</v>
      </c>
    </row>
    <row r="8" spans="2:11" ht="28.5" x14ac:dyDescent="0.45">
      <c r="B8" s="1" t="s">
        <v>18</v>
      </c>
      <c r="C8" s="1">
        <v>277.10000000000002</v>
      </c>
      <c r="E8" s="1">
        <v>84.1</v>
      </c>
      <c r="G8" s="1">
        <v>23562</v>
      </c>
      <c r="H8" s="1">
        <v>0.4783</v>
      </c>
      <c r="J8" s="1">
        <v>1.4181999999999999</v>
      </c>
    </row>
    <row r="9" spans="2:11" x14ac:dyDescent="0.45">
      <c r="B9" s="19" t="s">
        <v>56</v>
      </c>
      <c r="C9" s="14">
        <f>AVERAGE(C4:C8)</f>
        <v>277.21199999999999</v>
      </c>
      <c r="D9" s="14"/>
      <c r="E9" s="14">
        <f>AVERAGE(E4:E8)</f>
        <v>84.97999999999999</v>
      </c>
      <c r="F9" s="14"/>
      <c r="G9" s="14">
        <f>AVERAGE(G4:G8)</f>
        <v>23562</v>
      </c>
      <c r="H9" s="14">
        <f>AVERAGE(H4:H8)</f>
        <v>0.47621999999999998</v>
      </c>
      <c r="I9" s="14"/>
      <c r="J9" s="14">
        <f>AVERAGE(J4:J8)</f>
        <v>1.4244600000000001</v>
      </c>
    </row>
    <row r="10" spans="2:11" x14ac:dyDescent="0.45">
      <c r="C10" s="20" t="s">
        <v>52</v>
      </c>
      <c r="D10">
        <f>C9*E9</f>
        <v>23557.475759999998</v>
      </c>
    </row>
    <row r="11" spans="2:11" ht="28.9" thickBot="1" x14ac:dyDescent="0.5">
      <c r="B11" s="2" t="s">
        <v>1</v>
      </c>
      <c r="C11" s="2" t="s">
        <v>58</v>
      </c>
      <c r="D11" s="9">
        <f>_xlfn.STDEV.S(C12:C16)</f>
        <v>2.2804429394308237</v>
      </c>
      <c r="E11" s="2" t="s">
        <v>59</v>
      </c>
      <c r="F11" s="9">
        <f>_xlfn.STDEV.S(E12:E16)</f>
        <v>0.60991802727907818</v>
      </c>
      <c r="G11" s="2" t="s">
        <v>60</v>
      </c>
      <c r="H11" s="2" t="s">
        <v>61</v>
      </c>
      <c r="I11" s="9">
        <f>_xlfn.STDEV.S(H12:H16)</f>
        <v>4.2133122362340986E-3</v>
      </c>
      <c r="J11" s="2" t="s">
        <v>5</v>
      </c>
      <c r="K11" s="9">
        <f>_xlfn.STDEV.S(J12:J16)</f>
        <v>4.8567478831004068E-3</v>
      </c>
    </row>
    <row r="12" spans="2:11" x14ac:dyDescent="0.45">
      <c r="B12" s="1" t="s">
        <v>19</v>
      </c>
      <c r="C12" s="1">
        <v>20.79</v>
      </c>
      <c r="E12" s="1">
        <v>119.1</v>
      </c>
      <c r="G12" s="1">
        <v>2510.4</v>
      </c>
      <c r="H12" s="1">
        <v>0.4803</v>
      </c>
      <c r="J12" s="1">
        <v>1.4095</v>
      </c>
    </row>
    <row r="13" spans="2:11" x14ac:dyDescent="0.45">
      <c r="B13" s="1" t="s">
        <v>19</v>
      </c>
      <c r="C13" s="1">
        <v>15.52</v>
      </c>
      <c r="E13" s="1">
        <v>120.7</v>
      </c>
      <c r="G13" s="1">
        <v>2510.4</v>
      </c>
      <c r="H13" s="1">
        <v>0.47410000000000002</v>
      </c>
      <c r="J13" s="1">
        <v>1.4214</v>
      </c>
    </row>
    <row r="14" spans="2:11" x14ac:dyDescent="0.45">
      <c r="B14" s="1" t="s">
        <v>19</v>
      </c>
      <c r="C14" s="1">
        <v>15.4</v>
      </c>
      <c r="E14" s="1">
        <v>120.1</v>
      </c>
      <c r="G14" s="1">
        <v>2510.4</v>
      </c>
      <c r="H14" s="1">
        <v>0.48349999999999999</v>
      </c>
      <c r="J14" s="1">
        <v>1.4117999999999999</v>
      </c>
    </row>
    <row r="15" spans="2:11" x14ac:dyDescent="0.45">
      <c r="B15" s="1" t="s">
        <v>19</v>
      </c>
      <c r="C15" s="1">
        <v>15.9</v>
      </c>
      <c r="E15" s="1">
        <v>120.3</v>
      </c>
      <c r="G15" s="1">
        <v>2510.4</v>
      </c>
      <c r="H15" s="1">
        <v>0.47349999999999998</v>
      </c>
      <c r="J15" s="1">
        <v>1.4159999999999999</v>
      </c>
    </row>
    <row r="16" spans="2:11" x14ac:dyDescent="0.45">
      <c r="B16" s="1" t="s">
        <v>19</v>
      </c>
      <c r="C16" s="1">
        <v>16.100000000000001</v>
      </c>
      <c r="E16" s="1">
        <v>119.7</v>
      </c>
      <c r="G16" s="1">
        <v>2510.4</v>
      </c>
      <c r="H16" s="1">
        <v>0.47820000000000001</v>
      </c>
      <c r="J16" s="1">
        <v>1.4186000000000001</v>
      </c>
    </row>
    <row r="17" spans="2:11" x14ac:dyDescent="0.45">
      <c r="B17" s="19" t="s">
        <v>56</v>
      </c>
      <c r="C17" s="14">
        <f>AVERAGE(C12:C16)</f>
        <v>16.742000000000001</v>
      </c>
      <c r="D17" s="14"/>
      <c r="E17" s="14">
        <f>AVERAGE(E12:E16)</f>
        <v>119.97999999999999</v>
      </c>
      <c r="F17" s="14"/>
      <c r="G17" s="14">
        <f>AVERAGE(G12:G16)</f>
        <v>2510.4</v>
      </c>
      <c r="H17" s="14">
        <f>AVERAGE(H12:H16)</f>
        <v>0.47792000000000001</v>
      </c>
      <c r="I17" s="14"/>
      <c r="J17" s="14">
        <f>AVERAGE(J12:J16)</f>
        <v>1.4154599999999999</v>
      </c>
    </row>
    <row r="18" spans="2:11" x14ac:dyDescent="0.45">
      <c r="C18" s="20" t="s">
        <v>52</v>
      </c>
      <c r="D18">
        <f>C17*E17</f>
        <v>2008.70516</v>
      </c>
    </row>
    <row r="20" spans="2:11" ht="17.649999999999999" x14ac:dyDescent="0.45">
      <c r="B20" s="11" t="s">
        <v>40</v>
      </c>
      <c r="C20" s="3"/>
      <c r="D20" s="21" t="s">
        <v>47</v>
      </c>
      <c r="E20" s="21"/>
      <c r="F20" s="21" t="s">
        <v>47</v>
      </c>
      <c r="G20" s="21"/>
      <c r="H20" s="21"/>
      <c r="I20" s="21" t="s">
        <v>47</v>
      </c>
      <c r="J20" s="21"/>
      <c r="K20" s="21" t="s">
        <v>47</v>
      </c>
    </row>
    <row r="21" spans="2:11" ht="28.9" thickBot="1" x14ac:dyDescent="0.5">
      <c r="B21" s="2" t="s">
        <v>1</v>
      </c>
      <c r="C21" s="2" t="s">
        <v>58</v>
      </c>
      <c r="D21" s="9">
        <f>_xlfn.STDEV.S(C22:C26)</f>
        <v>0.65349062732376217</v>
      </c>
      <c r="E21" s="2" t="s">
        <v>59</v>
      </c>
      <c r="F21" s="9">
        <f>_xlfn.STDEV.S(E22:E26)</f>
        <v>0.86429161745327765</v>
      </c>
      <c r="G21" s="2" t="s">
        <v>60</v>
      </c>
      <c r="H21" s="2" t="s">
        <v>61</v>
      </c>
      <c r="I21" s="9" t="e">
        <f>_xlfn.STDEV.S(H22:H26)</f>
        <v>#DIV/0!</v>
      </c>
      <c r="J21" s="2" t="s">
        <v>5</v>
      </c>
      <c r="K21" s="9">
        <f>_xlfn.STDEV.S(J22:J26)</f>
        <v>9.2466361451070372E-2</v>
      </c>
    </row>
    <row r="22" spans="2:11" x14ac:dyDescent="0.45">
      <c r="B22" s="1" t="s">
        <v>19</v>
      </c>
      <c r="C22" s="1">
        <v>72.650000000000006</v>
      </c>
      <c r="E22" s="1">
        <v>104.1</v>
      </c>
      <c r="G22" s="1">
        <v>7470.75</v>
      </c>
      <c r="H22" s="1" t="s">
        <v>16</v>
      </c>
      <c r="J22" s="1">
        <v>3.6271</v>
      </c>
    </row>
    <row r="23" spans="2:11" x14ac:dyDescent="0.45">
      <c r="B23" s="1" t="s">
        <v>19</v>
      </c>
      <c r="C23" s="1">
        <v>72.7</v>
      </c>
      <c r="E23" s="1">
        <v>104.1</v>
      </c>
      <c r="G23" s="1">
        <v>7470.75</v>
      </c>
      <c r="H23" s="1" t="s">
        <v>16</v>
      </c>
      <c r="J23" s="1">
        <v>3.5891999999999999</v>
      </c>
    </row>
    <row r="24" spans="2:11" x14ac:dyDescent="0.45">
      <c r="B24" s="1" t="s">
        <v>19</v>
      </c>
      <c r="C24" s="1">
        <v>72.040000000000006</v>
      </c>
      <c r="E24" s="1">
        <v>105.6</v>
      </c>
      <c r="G24" s="1">
        <v>7470.75</v>
      </c>
      <c r="H24" s="1" t="s">
        <v>16</v>
      </c>
      <c r="J24" s="1">
        <v>3.4439000000000002</v>
      </c>
    </row>
    <row r="25" spans="2:11" x14ac:dyDescent="0.45">
      <c r="B25" s="1" t="s">
        <v>19</v>
      </c>
      <c r="C25" s="1">
        <v>73.400000000000006</v>
      </c>
      <c r="E25" s="1">
        <v>105.1</v>
      </c>
      <c r="G25" s="1">
        <v>7470.75</v>
      </c>
      <c r="H25" s="1" t="s">
        <v>16</v>
      </c>
      <c r="J25" s="1">
        <v>3.4420999999999999</v>
      </c>
    </row>
    <row r="26" spans="2:11" x14ac:dyDescent="0.45">
      <c r="B26" s="1" t="s">
        <v>19</v>
      </c>
      <c r="C26" s="1">
        <v>71.709999999999994</v>
      </c>
      <c r="E26" s="1">
        <v>106</v>
      </c>
      <c r="G26" s="1">
        <v>7470.75</v>
      </c>
      <c r="H26" s="1" t="s">
        <v>16</v>
      </c>
      <c r="J26" s="1">
        <v>3.4375</v>
      </c>
    </row>
    <row r="27" spans="2:11" x14ac:dyDescent="0.45">
      <c r="B27" s="19" t="s">
        <v>56</v>
      </c>
      <c r="C27" s="14">
        <f>AVERAGE(C22:C26)</f>
        <v>72.500000000000014</v>
      </c>
      <c r="D27" s="14"/>
      <c r="E27" s="14">
        <f>AVERAGE(E22:E26)</f>
        <v>104.97999999999999</v>
      </c>
      <c r="F27" s="14"/>
      <c r="G27" s="14">
        <f>AVERAGE(G22:G26)</f>
        <v>7470.75</v>
      </c>
      <c r="H27" s="14"/>
      <c r="I27" s="14"/>
      <c r="J27" s="14">
        <f>AVERAGE(J22:J26)</f>
        <v>3.5079599999999997</v>
      </c>
    </row>
    <row r="28" spans="2:11" x14ac:dyDescent="0.45">
      <c r="C28" s="20" t="s">
        <v>52</v>
      </c>
      <c r="D28">
        <f>C27*E27</f>
        <v>7611.0500000000011</v>
      </c>
    </row>
    <row r="29" spans="2:11" ht="28.9" thickBot="1" x14ac:dyDescent="0.5">
      <c r="B29" s="2" t="s">
        <v>1</v>
      </c>
      <c r="C29" s="2" t="s">
        <v>58</v>
      </c>
      <c r="D29" s="9">
        <f>_xlfn.STDEV.S(C30:C34)</f>
        <v>37.780122154381651</v>
      </c>
      <c r="E29" s="2" t="s">
        <v>59</v>
      </c>
      <c r="F29" s="9">
        <f>_xlfn.STDEV.S(E30:E34)</f>
        <v>1.1256109452204204</v>
      </c>
      <c r="G29" s="2" t="s">
        <v>60</v>
      </c>
      <c r="H29" s="2" t="s">
        <v>61</v>
      </c>
      <c r="I29" s="9" t="e">
        <f>_xlfn.STDEV.S(H30:H34)</f>
        <v>#DIV/0!</v>
      </c>
      <c r="J29" s="2" t="s">
        <v>5</v>
      </c>
      <c r="K29" s="9">
        <f>_xlfn.STDEV.S(J30:J34)</f>
        <v>6.3844482925308421E-2</v>
      </c>
    </row>
    <row r="30" spans="2:11" ht="28.5" x14ac:dyDescent="0.45">
      <c r="B30" s="1" t="s">
        <v>18</v>
      </c>
      <c r="C30" s="1">
        <v>460.76</v>
      </c>
      <c r="E30" s="1">
        <v>70.099999999999994</v>
      </c>
      <c r="G30" s="1">
        <v>30514</v>
      </c>
      <c r="H30" s="1" t="s">
        <v>16</v>
      </c>
      <c r="J30" s="1">
        <v>3.5488</v>
      </c>
    </row>
    <row r="31" spans="2:11" ht="28.5" x14ac:dyDescent="0.45">
      <c r="B31" s="1" t="s">
        <v>18</v>
      </c>
      <c r="C31" s="1">
        <v>378.41</v>
      </c>
      <c r="E31" s="1">
        <v>72.400000000000006</v>
      </c>
      <c r="G31" s="1">
        <v>30514</v>
      </c>
      <c r="H31" s="1" t="s">
        <v>16</v>
      </c>
      <c r="J31" s="1">
        <v>3.4323999999999999</v>
      </c>
    </row>
    <row r="32" spans="2:11" ht="28.5" x14ac:dyDescent="0.45">
      <c r="B32" s="1" t="s">
        <v>18</v>
      </c>
      <c r="C32" s="1">
        <v>392.21</v>
      </c>
      <c r="E32" s="1">
        <v>71.2</v>
      </c>
      <c r="G32" s="1">
        <v>30514</v>
      </c>
      <c r="H32" s="1" t="s">
        <v>16</v>
      </c>
      <c r="J32" s="1">
        <v>3.4</v>
      </c>
    </row>
    <row r="33" spans="2:11" ht="28.5" x14ac:dyDescent="0.45">
      <c r="B33" s="1" t="s">
        <v>18</v>
      </c>
      <c r="C33" s="1">
        <v>381.2</v>
      </c>
      <c r="E33" s="1">
        <v>72.3</v>
      </c>
      <c r="G33" s="1">
        <v>30514</v>
      </c>
      <c r="H33" s="1" t="s">
        <v>16</v>
      </c>
      <c r="J33" s="1">
        <v>3.4020999999999999</v>
      </c>
    </row>
    <row r="34" spans="2:11" ht="28.5" x14ac:dyDescent="0.45">
      <c r="B34" s="1" t="s">
        <v>18</v>
      </c>
      <c r="C34" s="1">
        <v>364.79</v>
      </c>
      <c r="E34" s="1">
        <v>72.900000000000006</v>
      </c>
      <c r="G34" s="1">
        <v>30514</v>
      </c>
      <c r="H34" s="1" t="s">
        <v>16</v>
      </c>
      <c r="J34" s="1">
        <v>3.4024000000000001</v>
      </c>
    </row>
    <row r="35" spans="2:11" x14ac:dyDescent="0.45">
      <c r="B35" s="19" t="s">
        <v>56</v>
      </c>
      <c r="C35" s="14">
        <f>AVERAGE(C30:C34)</f>
        <v>395.47400000000005</v>
      </c>
      <c r="E35" s="14">
        <f>AVERAGE(E30:E34)</f>
        <v>71.78</v>
      </c>
      <c r="G35" s="14">
        <f>AVERAGE(G30:G34)</f>
        <v>30514</v>
      </c>
      <c r="J35" s="14">
        <f>AVERAGE(J30:J34)</f>
        <v>3.4371400000000003</v>
      </c>
    </row>
    <row r="36" spans="2:11" x14ac:dyDescent="0.45">
      <c r="C36" s="20" t="s">
        <v>52</v>
      </c>
      <c r="D36">
        <f>C35*E35</f>
        <v>28387.123720000003</v>
      </c>
    </row>
    <row r="37" spans="2:11" ht="17.649999999999999" x14ac:dyDescent="0.45">
      <c r="B37" s="11" t="s">
        <v>41</v>
      </c>
      <c r="C37" s="3"/>
      <c r="D37" s="21" t="s">
        <v>47</v>
      </c>
      <c r="E37" s="21"/>
      <c r="F37" s="21" t="s">
        <v>47</v>
      </c>
      <c r="G37" s="21"/>
      <c r="H37" s="21"/>
      <c r="I37" s="21" t="s">
        <v>47</v>
      </c>
      <c r="J37" s="21"/>
      <c r="K37" s="21" t="s">
        <v>47</v>
      </c>
    </row>
    <row r="38" spans="2:11" ht="28.9" thickBot="1" x14ac:dyDescent="0.5">
      <c r="B38" s="2" t="s">
        <v>1</v>
      </c>
      <c r="C38" s="2" t="s">
        <v>58</v>
      </c>
      <c r="D38" s="9">
        <f>_xlfn.STDEV.S(C39:C43)</f>
        <v>0.1577339532250438</v>
      </c>
      <c r="E38" s="2" t="s">
        <v>59</v>
      </c>
      <c r="F38" s="9">
        <f>_xlfn.STDEV.S(E39:E43)</f>
        <v>0.67230945255886421</v>
      </c>
      <c r="G38" s="2" t="s">
        <v>60</v>
      </c>
      <c r="H38" s="2" t="s">
        <v>61</v>
      </c>
      <c r="I38" s="9" t="e">
        <f>_xlfn.STDEV.S(H39:H43)</f>
        <v>#DIV/0!</v>
      </c>
      <c r="J38" s="2" t="s">
        <v>5</v>
      </c>
      <c r="K38" s="9">
        <f>_xlfn.STDEV.S(J39:J43)</f>
        <v>4.5762102224438966E-2</v>
      </c>
    </row>
    <row r="39" spans="2:11" x14ac:dyDescent="0.45">
      <c r="B39" s="1" t="s">
        <v>19</v>
      </c>
      <c r="C39" s="1">
        <v>37.83</v>
      </c>
      <c r="E39" s="1">
        <v>118.5</v>
      </c>
      <c r="G39" s="1">
        <v>4629.1000000000004</v>
      </c>
      <c r="H39" s="1" t="s">
        <v>16</v>
      </c>
      <c r="J39" s="1">
        <v>2.8595999999999999</v>
      </c>
    </row>
    <row r="40" spans="2:11" x14ac:dyDescent="0.45">
      <c r="B40" s="1" t="s">
        <v>19</v>
      </c>
      <c r="C40" s="1">
        <v>37.840000000000003</v>
      </c>
      <c r="E40" s="1">
        <v>118.1</v>
      </c>
      <c r="G40" s="1">
        <v>4629.1000000000004</v>
      </c>
      <c r="H40" s="1" t="s">
        <v>16</v>
      </c>
      <c r="J40" s="1">
        <v>2.7940999999999998</v>
      </c>
    </row>
    <row r="41" spans="2:11" x14ac:dyDescent="0.45">
      <c r="B41" s="1" t="s">
        <v>19</v>
      </c>
      <c r="C41" s="1">
        <v>37.86</v>
      </c>
      <c r="E41" s="1">
        <v>119.5</v>
      </c>
      <c r="G41" s="1">
        <v>4629.1000000000004</v>
      </c>
      <c r="H41" s="1" t="s">
        <v>16</v>
      </c>
      <c r="J41" s="1">
        <v>2.7907999999999999</v>
      </c>
    </row>
    <row r="42" spans="2:11" x14ac:dyDescent="0.45">
      <c r="B42" s="1" t="s">
        <v>19</v>
      </c>
      <c r="C42" s="1">
        <v>38.200000000000003</v>
      </c>
      <c r="E42" s="1">
        <v>117.7</v>
      </c>
      <c r="G42" s="1">
        <v>4629.1000000000004</v>
      </c>
      <c r="H42" s="1" t="s">
        <v>16</v>
      </c>
      <c r="J42" s="1">
        <v>2.8683999999999998</v>
      </c>
    </row>
    <row r="43" spans="2:11" x14ac:dyDescent="0.45">
      <c r="B43" s="1" t="s">
        <v>19</v>
      </c>
      <c r="C43" s="1">
        <v>38</v>
      </c>
      <c r="E43" s="1">
        <v>118.6</v>
      </c>
      <c r="G43" s="1">
        <v>4629.1000000000004</v>
      </c>
      <c r="H43" s="1" t="s">
        <v>16</v>
      </c>
      <c r="J43" s="1">
        <v>2.8915999999999999</v>
      </c>
    </row>
    <row r="44" spans="2:11" x14ac:dyDescent="0.45">
      <c r="B44" s="19" t="s">
        <v>56</v>
      </c>
      <c r="C44" s="14">
        <f>AVERAGE(C39:C43)</f>
        <v>37.946000000000005</v>
      </c>
      <c r="E44" s="14">
        <f>AVERAGE(E39:E43)</f>
        <v>118.47999999999999</v>
      </c>
      <c r="G44" s="14">
        <f>AVERAGE(G39:G43)</f>
        <v>4629.1000000000004</v>
      </c>
      <c r="J44" s="14">
        <f>AVERAGE(J39:J43)</f>
        <v>2.8409</v>
      </c>
    </row>
    <row r="45" spans="2:11" x14ac:dyDescent="0.45">
      <c r="C45" s="20" t="s">
        <v>52</v>
      </c>
      <c r="D45">
        <f>C44*E44</f>
        <v>4495.8420800000004</v>
      </c>
    </row>
    <row r="46" spans="2:11" ht="28.9" thickBot="1" x14ac:dyDescent="0.5">
      <c r="B46" s="1" t="s">
        <v>18</v>
      </c>
      <c r="C46" s="15">
        <v>1221.02</v>
      </c>
      <c r="D46" s="9">
        <f>_xlfn.STDEV.S(C47:C51)</f>
        <v>99.1454200495414</v>
      </c>
      <c r="E46" s="1">
        <v>69.7</v>
      </c>
      <c r="F46" s="9">
        <f>_xlfn.STDEV.S(E47:E51)</f>
        <v>0.90516296875203717</v>
      </c>
      <c r="G46" s="1">
        <v>78076.570000000007</v>
      </c>
      <c r="H46" s="1" t="s">
        <v>16</v>
      </c>
      <c r="I46" s="9" t="e">
        <f>_xlfn.STDEV.S(H47:H51)</f>
        <v>#DIV/0!</v>
      </c>
      <c r="J46" s="1">
        <v>2.8170999999999999</v>
      </c>
      <c r="K46" s="9">
        <f>_xlfn.STDEV.S(J47:J51)</f>
        <v>8.0570816552893387E-2</v>
      </c>
    </row>
    <row r="47" spans="2:11" ht="28.5" x14ac:dyDescent="0.45">
      <c r="B47" s="1" t="s">
        <v>18</v>
      </c>
      <c r="C47" s="15">
        <v>1294.22</v>
      </c>
      <c r="E47" s="1">
        <v>70</v>
      </c>
      <c r="G47" s="1">
        <v>78076.570000000007</v>
      </c>
      <c r="H47" s="1" t="s">
        <v>16</v>
      </c>
      <c r="J47" s="1">
        <v>2.8283</v>
      </c>
    </row>
    <row r="48" spans="2:11" ht="28.5" x14ac:dyDescent="0.45">
      <c r="B48" s="1" t="s">
        <v>18</v>
      </c>
      <c r="C48" s="15">
        <v>1145.96</v>
      </c>
      <c r="E48" s="1">
        <v>71.2</v>
      </c>
      <c r="G48" s="1">
        <v>78076.570000000007</v>
      </c>
      <c r="H48" s="1" t="s">
        <v>16</v>
      </c>
      <c r="J48" s="1">
        <v>2.9781</v>
      </c>
    </row>
    <row r="49" spans="2:11" ht="28.5" x14ac:dyDescent="0.45">
      <c r="B49" s="1" t="s">
        <v>18</v>
      </c>
      <c r="C49" s="15">
        <v>1271</v>
      </c>
      <c r="E49" s="1">
        <v>70.900000000000006</v>
      </c>
      <c r="G49" s="1">
        <v>78076.570000000007</v>
      </c>
      <c r="H49" s="1" t="s">
        <v>16</v>
      </c>
      <c r="J49" s="1">
        <v>2.7721</v>
      </c>
    </row>
    <row r="50" spans="2:11" ht="28.5" x14ac:dyDescent="0.45">
      <c r="B50" s="1" t="s">
        <v>18</v>
      </c>
      <c r="C50" s="15">
        <v>1048.8399999999999</v>
      </c>
      <c r="E50" s="1">
        <v>72.5</v>
      </c>
      <c r="G50" s="1">
        <v>78076.570000000007</v>
      </c>
      <c r="H50" s="1" t="s">
        <v>16</v>
      </c>
      <c r="J50" s="1">
        <v>2.7934999999999999</v>
      </c>
    </row>
    <row r="51" spans="2:11" x14ac:dyDescent="0.45">
      <c r="B51" s="19" t="s">
        <v>56</v>
      </c>
      <c r="C51" s="14">
        <f>AVERAGE(C46:C50)</f>
        <v>1196.2080000000001</v>
      </c>
      <c r="E51" s="14">
        <f>AVERAGE(E46:E50)</f>
        <v>70.859999999999985</v>
      </c>
      <c r="G51" s="14">
        <f>AVERAGE(G46:G50)</f>
        <v>78076.570000000007</v>
      </c>
      <c r="H51" s="1"/>
      <c r="J51" s="14">
        <f>AVERAGE(J46:J50)</f>
        <v>2.8378199999999998</v>
      </c>
    </row>
    <row r="52" spans="2:11" x14ac:dyDescent="0.45">
      <c r="B52" s="1"/>
      <c r="C52" s="20" t="s">
        <v>52</v>
      </c>
      <c r="D52">
        <f>C51*E51</f>
        <v>84763.298879999988</v>
      </c>
      <c r="E52" s="1"/>
      <c r="G52" s="1"/>
      <c r="H52" s="1"/>
      <c r="J52" s="1"/>
    </row>
    <row r="53" spans="2:11" x14ac:dyDescent="0.45">
      <c r="B53" s="2"/>
    </row>
    <row r="54" spans="2:11" x14ac:dyDescent="0.45">
      <c r="B54" s="2"/>
    </row>
    <row r="55" spans="2:11" ht="17.649999999999999" x14ac:dyDescent="0.45">
      <c r="B55" s="11" t="s">
        <v>43</v>
      </c>
      <c r="C55" s="3"/>
      <c r="D55" s="21" t="s">
        <v>47</v>
      </c>
      <c r="E55" s="21"/>
      <c r="F55" s="21" t="s">
        <v>47</v>
      </c>
      <c r="G55" s="21"/>
      <c r="H55" s="21"/>
      <c r="I55" s="21" t="s">
        <v>47</v>
      </c>
      <c r="J55" s="21"/>
      <c r="K55" s="21" t="s">
        <v>47</v>
      </c>
    </row>
    <row r="56" spans="2:11" ht="28.9" thickBot="1" x14ac:dyDescent="0.5">
      <c r="B56" s="2" t="s">
        <v>1</v>
      </c>
      <c r="C56" s="2" t="s">
        <v>58</v>
      </c>
      <c r="D56" s="9">
        <f>_xlfn.STDEV.S(C57:C61)</f>
        <v>0.1745565810847588</v>
      </c>
      <c r="E56" s="2" t="s">
        <v>59</v>
      </c>
      <c r="F56" s="9">
        <f>_xlfn.STDEV.S(E57:E61)</f>
        <v>0.39115214431215883</v>
      </c>
      <c r="G56" s="2" t="s">
        <v>60</v>
      </c>
      <c r="H56" s="2" t="s">
        <v>61</v>
      </c>
      <c r="I56" s="9">
        <f>_xlfn.STDEV.S(H57:H61)</f>
        <v>1.6004436884814142E-2</v>
      </c>
      <c r="J56" s="2" t="s">
        <v>5</v>
      </c>
      <c r="K56" s="9">
        <f>_xlfn.STDEV.S(J57:J61)</f>
        <v>1.7784262706111869E-2</v>
      </c>
    </row>
    <row r="57" spans="2:11" x14ac:dyDescent="0.45">
      <c r="B57" s="1" t="s">
        <v>19</v>
      </c>
      <c r="C57" s="1">
        <v>14.5</v>
      </c>
      <c r="E57" s="1">
        <v>63.1</v>
      </c>
      <c r="G57" s="1"/>
      <c r="H57" s="1">
        <v>0.33179999999999998</v>
      </c>
      <c r="J57" s="1">
        <v>1.5157</v>
      </c>
    </row>
    <row r="58" spans="2:11" x14ac:dyDescent="0.45">
      <c r="B58" s="1" t="s">
        <v>19</v>
      </c>
      <c r="C58" s="1">
        <v>14.21</v>
      </c>
      <c r="E58" s="1">
        <v>63.4</v>
      </c>
      <c r="G58" s="1"/>
      <c r="H58" s="1">
        <v>0.33629999999999999</v>
      </c>
      <c r="J58" s="1">
        <v>1.5125999999999999</v>
      </c>
    </row>
    <row r="59" spans="2:11" x14ac:dyDescent="0.45">
      <c r="B59" s="1" t="s">
        <v>19</v>
      </c>
      <c r="C59" s="1">
        <v>14.1</v>
      </c>
      <c r="E59" s="1">
        <v>62.7</v>
      </c>
      <c r="G59" s="1"/>
      <c r="H59" s="1">
        <v>0.29620000000000002</v>
      </c>
      <c r="J59" s="1">
        <v>1.5575000000000001</v>
      </c>
    </row>
    <row r="60" spans="2:11" x14ac:dyDescent="0.45">
      <c r="B60" s="1" t="s">
        <v>19</v>
      </c>
      <c r="C60" s="1">
        <v>14.13</v>
      </c>
      <c r="E60" s="1">
        <v>63.1</v>
      </c>
      <c r="G60" s="1"/>
      <c r="H60" s="1">
        <v>0.31440000000000001</v>
      </c>
      <c r="J60" s="1">
        <v>1.5310999999999999</v>
      </c>
    </row>
    <row r="61" spans="2:11" x14ac:dyDescent="0.45">
      <c r="B61" s="1" t="s">
        <v>19</v>
      </c>
      <c r="C61" s="1">
        <v>14.07</v>
      </c>
      <c r="E61" s="1">
        <v>62.4</v>
      </c>
      <c r="G61" s="1"/>
      <c r="H61" s="1">
        <v>0.31440000000000001</v>
      </c>
      <c r="J61" s="1">
        <v>1.5310999999999999</v>
      </c>
    </row>
    <row r="62" spans="2:11" x14ac:dyDescent="0.45">
      <c r="B62" s="19" t="s">
        <v>56</v>
      </c>
      <c r="C62" s="14">
        <f>AVERAGE(C57:C61)</f>
        <v>14.202000000000002</v>
      </c>
      <c r="E62" s="14">
        <f>AVERAGE(E57:E61)</f>
        <v>62.94</v>
      </c>
      <c r="H62" s="14">
        <f>AVERAGE(H57:H61)</f>
        <v>0.31862000000000001</v>
      </c>
      <c r="J62" s="14">
        <f>AVERAGE(J57:J61)</f>
        <v>1.5295999999999998</v>
      </c>
    </row>
    <row r="63" spans="2:11" x14ac:dyDescent="0.45">
      <c r="C63" s="20" t="s">
        <v>52</v>
      </c>
      <c r="D63">
        <f>C62*E62</f>
        <v>893.8738800000001</v>
      </c>
    </row>
    <row r="64" spans="2:11" ht="28.9" thickBot="1" x14ac:dyDescent="0.5">
      <c r="B64" s="1" t="s">
        <v>18</v>
      </c>
      <c r="C64" s="15">
        <v>202.56</v>
      </c>
      <c r="D64" s="9">
        <f>_xlfn.STDEV.S(C65:C69)</f>
        <v>3.0494015806384085</v>
      </c>
      <c r="E64" s="1">
        <v>101.1</v>
      </c>
      <c r="F64" s="9">
        <f>_xlfn.STDEV.S(E65:E69)</f>
        <v>0.43931765272977796</v>
      </c>
      <c r="G64" s="1"/>
      <c r="H64" s="1">
        <v>0.32519999999999999</v>
      </c>
      <c r="I64" s="9">
        <f>_xlfn.STDEV.S(H65:H69)</f>
        <v>1.1806122140652289E-2</v>
      </c>
      <c r="J64" s="1">
        <v>1.5241</v>
      </c>
      <c r="K64" s="9">
        <f>_xlfn.STDEV.S(J65:J69)</f>
        <v>1.4102392704785907E-2</v>
      </c>
    </row>
    <row r="65" spans="2:11" ht="28.5" x14ac:dyDescent="0.45">
      <c r="B65" s="1" t="s">
        <v>18</v>
      </c>
      <c r="C65" s="15">
        <v>204.26</v>
      </c>
      <c r="E65" s="1">
        <v>100.2</v>
      </c>
      <c r="G65" s="1"/>
      <c r="H65" s="1">
        <v>0.33289999999999997</v>
      </c>
      <c r="J65" s="1">
        <v>1.512</v>
      </c>
    </row>
    <row r="66" spans="2:11" ht="28.5" x14ac:dyDescent="0.45">
      <c r="B66" s="1" t="s">
        <v>18</v>
      </c>
      <c r="C66" s="15">
        <v>211.93</v>
      </c>
      <c r="E66" s="1">
        <v>99.7</v>
      </c>
      <c r="G66" s="1"/>
      <c r="H66" s="1">
        <v>0.3296</v>
      </c>
      <c r="J66" s="1">
        <v>1.5135000000000001</v>
      </c>
    </row>
    <row r="67" spans="2:11" ht="28.5" x14ac:dyDescent="0.45">
      <c r="B67" s="1" t="s">
        <v>18</v>
      </c>
      <c r="C67" s="15">
        <v>209.68</v>
      </c>
      <c r="E67" s="1">
        <v>100.9</v>
      </c>
      <c r="G67" s="1"/>
      <c r="H67" s="1">
        <v>0.33500000000000002</v>
      </c>
      <c r="J67" s="1">
        <v>1.5122</v>
      </c>
    </row>
    <row r="68" spans="2:11" ht="28.5" x14ac:dyDescent="0.45">
      <c r="B68" s="1" t="s">
        <v>18</v>
      </c>
      <c r="C68" s="15">
        <v>211.12</v>
      </c>
      <c r="E68" s="1">
        <v>100.1</v>
      </c>
      <c r="G68" s="1"/>
      <c r="H68" s="1">
        <v>0.30559999999999998</v>
      </c>
      <c r="J68" s="1">
        <v>1.5450999999999999</v>
      </c>
    </row>
    <row r="69" spans="2:11" x14ac:dyDescent="0.45">
      <c r="B69" s="19" t="s">
        <v>56</v>
      </c>
      <c r="C69" s="14">
        <f>AVERAGE(C64:C68)</f>
        <v>207.91000000000003</v>
      </c>
      <c r="E69" s="14">
        <f>AVERAGE(E64:E68)</f>
        <v>100.4</v>
      </c>
      <c r="G69" s="1"/>
      <c r="H69" s="14">
        <f>AVERAGE(H64:H68)</f>
        <v>0.32565999999999995</v>
      </c>
      <c r="J69" s="14">
        <f>AVERAGE(J64:J68)</f>
        <v>1.52138</v>
      </c>
    </row>
    <row r="70" spans="2:11" x14ac:dyDescent="0.45">
      <c r="B70" s="1"/>
      <c r="C70" s="20" t="s">
        <v>52</v>
      </c>
      <c r="D70">
        <f>C69*E69</f>
        <v>20874.164000000004</v>
      </c>
      <c r="E70" s="1"/>
      <c r="G70" s="1"/>
      <c r="H70" s="1"/>
      <c r="J70" s="1"/>
    </row>
    <row r="71" spans="2:11" x14ac:dyDescent="0.45">
      <c r="B71" s="2"/>
    </row>
    <row r="73" spans="2:11" ht="17.649999999999999" x14ac:dyDescent="0.45">
      <c r="B73" s="11" t="s">
        <v>42</v>
      </c>
      <c r="C73" s="3"/>
      <c r="D73" s="21" t="s">
        <v>47</v>
      </c>
      <c r="E73" s="21"/>
      <c r="F73" s="21" t="s">
        <v>47</v>
      </c>
      <c r="G73" s="21"/>
      <c r="H73" s="21"/>
      <c r="I73" s="21" t="s">
        <v>47</v>
      </c>
      <c r="J73" s="21"/>
      <c r="K73" s="21" t="s">
        <v>47</v>
      </c>
    </row>
    <row r="74" spans="2:11" ht="28.9" thickBot="1" x14ac:dyDescent="0.5">
      <c r="B74" s="2" t="s">
        <v>1</v>
      </c>
      <c r="C74" s="2" t="s">
        <v>58</v>
      </c>
      <c r="D74" s="9">
        <f>_xlfn.STDEV.S(C75:C81)</f>
        <v>0.5578957062459059</v>
      </c>
      <c r="E74" s="2" t="s">
        <v>59</v>
      </c>
      <c r="F74" s="9">
        <f>_xlfn.STDEV.S(E75:E81)</f>
        <v>0.86023252670426142</v>
      </c>
      <c r="G74" s="2" t="s">
        <v>60</v>
      </c>
      <c r="H74" s="2" t="s">
        <v>61</v>
      </c>
      <c r="I74" s="9">
        <f>_xlfn.STDEV.S(H75:H79)</f>
        <v>0</v>
      </c>
      <c r="J74" s="2" t="s">
        <v>5</v>
      </c>
      <c r="K74" s="9" t="e">
        <f>_xlfn.STDEV.S(J75:J79)</f>
        <v>#DIV/0!</v>
      </c>
    </row>
    <row r="75" spans="2:11" ht="16.149999999999999" thickBot="1" x14ac:dyDescent="0.5">
      <c r="B75" s="1" t="s">
        <v>19</v>
      </c>
      <c r="C75" s="1">
        <v>40.909999999999997</v>
      </c>
      <c r="D75" s="9">
        <f>_xlfn.STDEV.S(C75:C81)</f>
        <v>0.5578957062459059</v>
      </c>
      <c r="E75" s="1">
        <v>99.2</v>
      </c>
      <c r="F75" s="9">
        <f>_xlfn.STDEV.S(E75:E81)</f>
        <v>0.86023252670426142</v>
      </c>
      <c r="G75" s="1">
        <f t="shared" ref="G75:G81" si="0">C75*E75</f>
        <v>4058.2719999999999</v>
      </c>
      <c r="H75" s="1">
        <v>0.81899999999999995</v>
      </c>
      <c r="I75" s="9">
        <f>_xlfn.STDEV.S(H75:H81)</f>
        <v>0</v>
      </c>
      <c r="J75" s="1" t="s">
        <v>16</v>
      </c>
    </row>
    <row r="76" spans="2:11" x14ac:dyDescent="0.45">
      <c r="B76" s="1" t="s">
        <v>19</v>
      </c>
      <c r="C76" s="1">
        <v>39.409999999999997</v>
      </c>
      <c r="E76" s="1">
        <v>100.7</v>
      </c>
      <c r="G76" s="1">
        <f t="shared" si="0"/>
        <v>3968.587</v>
      </c>
      <c r="H76" s="1">
        <v>0.81899999999999995</v>
      </c>
      <c r="J76" s="1" t="s">
        <v>16</v>
      </c>
    </row>
    <row r="77" spans="2:11" x14ac:dyDescent="0.45">
      <c r="B77" s="1" t="s">
        <v>19</v>
      </c>
      <c r="C77" s="1">
        <v>39.700000000000003</v>
      </c>
      <c r="E77" s="1">
        <v>99.7</v>
      </c>
      <c r="G77" s="1">
        <f t="shared" si="0"/>
        <v>3958.0900000000006</v>
      </c>
      <c r="H77" s="1">
        <v>0.81899999999999995</v>
      </c>
      <c r="J77" s="1" t="s">
        <v>16</v>
      </c>
    </row>
    <row r="78" spans="2:11" x14ac:dyDescent="0.45">
      <c r="B78" s="1" t="s">
        <v>19</v>
      </c>
      <c r="C78" s="1">
        <v>39.5</v>
      </c>
      <c r="E78" s="1">
        <v>99.8</v>
      </c>
      <c r="G78" s="1">
        <f t="shared" si="0"/>
        <v>3942.1</v>
      </c>
      <c r="H78" s="1">
        <v>0.81899999999999995</v>
      </c>
      <c r="J78" s="1" t="s">
        <v>16</v>
      </c>
    </row>
    <row r="79" spans="2:11" x14ac:dyDescent="0.45">
      <c r="B79" s="1" t="s">
        <v>19</v>
      </c>
      <c r="C79" s="1">
        <v>39.36</v>
      </c>
      <c r="E79" s="1">
        <v>101.5</v>
      </c>
      <c r="G79" s="1">
        <f t="shared" si="0"/>
        <v>3995.04</v>
      </c>
      <c r="H79" s="1">
        <v>0.81899999999999995</v>
      </c>
      <c r="J79" s="1" t="s">
        <v>16</v>
      </c>
    </row>
    <row r="80" spans="2:11" x14ac:dyDescent="0.45">
      <c r="B80" s="1" t="s">
        <v>19</v>
      </c>
      <c r="C80" s="1">
        <v>39.32</v>
      </c>
      <c r="E80" s="1">
        <v>101.3</v>
      </c>
      <c r="G80" s="1">
        <f t="shared" si="0"/>
        <v>3983.116</v>
      </c>
      <c r="H80" s="1">
        <v>0.81899999999999995</v>
      </c>
      <c r="J80" s="1" t="s">
        <v>16</v>
      </c>
    </row>
    <row r="81" spans="2:11" x14ac:dyDescent="0.45">
      <c r="B81" s="1" t="s">
        <v>19</v>
      </c>
      <c r="C81" s="1">
        <v>39.549999999999997</v>
      </c>
      <c r="E81" s="1">
        <v>100.6</v>
      </c>
      <c r="G81" s="1">
        <f t="shared" si="0"/>
        <v>3978.7299999999996</v>
      </c>
      <c r="H81" s="1">
        <v>0.81899999999999995</v>
      </c>
      <c r="J81" s="1" t="s">
        <v>16</v>
      </c>
    </row>
    <row r="82" spans="2:11" x14ac:dyDescent="0.45">
      <c r="B82" s="19" t="s">
        <v>56</v>
      </c>
      <c r="C82">
        <f>AVERAGE(C75:C81)</f>
        <v>39.678571428571431</v>
      </c>
      <c r="E82">
        <f>AVERAGE(E75:E81)</f>
        <v>100.4</v>
      </c>
      <c r="G82">
        <f>AVERAGE(G75:G81)</f>
        <v>3983.4192857142857</v>
      </c>
      <c r="H82">
        <f>AVERAGE(H75:H81)</f>
        <v>0.81899999999999995</v>
      </c>
    </row>
    <row r="83" spans="2:11" x14ac:dyDescent="0.45">
      <c r="C83" s="20" t="s">
        <v>52</v>
      </c>
      <c r="D83">
        <f>C82*E82</f>
        <v>3983.7285714285717</v>
      </c>
    </row>
    <row r="86" spans="2:11" ht="17.649999999999999" x14ac:dyDescent="0.45">
      <c r="B86" s="11" t="s">
        <v>42</v>
      </c>
      <c r="C86" s="3"/>
      <c r="D86" s="21" t="s">
        <v>47</v>
      </c>
      <c r="E86" s="21"/>
      <c r="F86" s="21" t="s">
        <v>47</v>
      </c>
      <c r="G86" s="21"/>
      <c r="H86" s="21"/>
      <c r="I86" s="21" t="s">
        <v>47</v>
      </c>
      <c r="J86" s="21"/>
      <c r="K86" s="21" t="s">
        <v>47</v>
      </c>
    </row>
    <row r="87" spans="2:11" ht="28.9" thickBot="1" x14ac:dyDescent="0.5">
      <c r="B87" s="2" t="s">
        <v>1</v>
      </c>
      <c r="C87" s="2" t="s">
        <v>58</v>
      </c>
      <c r="D87" s="9">
        <f>_xlfn.STDEV.S(C88:C92)</f>
        <v>11.057721284242955</v>
      </c>
      <c r="E87" s="2" t="s">
        <v>59</v>
      </c>
      <c r="F87" s="9">
        <f>_xlfn.STDEV.S(E88:E92)</f>
        <v>1.5546703830715998</v>
      </c>
      <c r="G87" s="2" t="s">
        <v>60</v>
      </c>
      <c r="H87" s="2" t="s">
        <v>61</v>
      </c>
      <c r="I87" s="9">
        <f>_xlfn.STDEV.S(H88:H94)</f>
        <v>2.3983558466659082E-16</v>
      </c>
      <c r="J87" s="2" t="s">
        <v>5</v>
      </c>
      <c r="K87" s="9" t="e">
        <f>_xlfn.STDEV.S(J88:J94)</f>
        <v>#DIV/0!</v>
      </c>
    </row>
    <row r="88" spans="2:11" ht="28.9" thickBot="1" x14ac:dyDescent="0.5">
      <c r="B88" s="1" t="s">
        <v>18</v>
      </c>
      <c r="C88" s="1">
        <v>358.77</v>
      </c>
      <c r="D88" s="9">
        <f>_xlfn.STDEV.S(C88:C94)</f>
        <v>10.354787482586184</v>
      </c>
      <c r="E88" s="1">
        <v>62.1</v>
      </c>
      <c r="F88" s="9">
        <f>_xlfn.STDEV.S(E88:E94)</f>
        <v>1.3252133700617696</v>
      </c>
      <c r="G88" s="1">
        <f t="shared" ref="G88:G94" si="1">C88*E88</f>
        <v>22279.616999999998</v>
      </c>
      <c r="H88" s="1">
        <v>0.81499999999999995</v>
      </c>
      <c r="J88" s="1" t="s">
        <v>16</v>
      </c>
    </row>
    <row r="89" spans="2:11" ht="28.5" x14ac:dyDescent="0.45">
      <c r="B89" s="1" t="s">
        <v>18</v>
      </c>
      <c r="C89" s="1">
        <v>354.52</v>
      </c>
      <c r="E89" s="1">
        <v>63.2</v>
      </c>
      <c r="G89" s="1">
        <f t="shared" si="1"/>
        <v>22405.664000000001</v>
      </c>
      <c r="H89" s="1">
        <v>0.81499999999999995</v>
      </c>
      <c r="J89" s="1" t="s">
        <v>16</v>
      </c>
    </row>
    <row r="90" spans="2:11" ht="28.5" x14ac:dyDescent="0.45">
      <c r="B90" s="1" t="s">
        <v>18</v>
      </c>
      <c r="C90" s="1">
        <v>343.34</v>
      </c>
      <c r="E90" s="1">
        <v>64.3</v>
      </c>
      <c r="G90" s="1">
        <f t="shared" si="1"/>
        <v>22076.761999999999</v>
      </c>
      <c r="H90" s="1">
        <v>0.81499999999999995</v>
      </c>
      <c r="J90" s="1" t="s">
        <v>16</v>
      </c>
    </row>
    <row r="91" spans="2:11" ht="28.5" x14ac:dyDescent="0.45">
      <c r="B91" s="1" t="s">
        <v>18</v>
      </c>
      <c r="C91" s="1">
        <v>335.5</v>
      </c>
      <c r="E91" s="1">
        <v>65.5</v>
      </c>
      <c r="G91" s="1">
        <f t="shared" si="1"/>
        <v>21975.25</v>
      </c>
      <c r="H91" s="1">
        <v>0.81499999999999995</v>
      </c>
      <c r="J91" s="1" t="s">
        <v>16</v>
      </c>
    </row>
    <row r="92" spans="2:11" ht="28.5" x14ac:dyDescent="0.45">
      <c r="B92" s="1" t="s">
        <v>18</v>
      </c>
      <c r="C92" s="1">
        <v>334.22</v>
      </c>
      <c r="E92" s="1">
        <v>65.8</v>
      </c>
      <c r="G92" s="1">
        <f t="shared" si="1"/>
        <v>21991.675999999999</v>
      </c>
      <c r="H92" s="1">
        <v>0.81499999999999995</v>
      </c>
      <c r="J92" s="1" t="s">
        <v>16</v>
      </c>
    </row>
    <row r="93" spans="2:11" ht="28.5" x14ac:dyDescent="0.45">
      <c r="B93" s="1" t="s">
        <v>18</v>
      </c>
      <c r="C93" s="1">
        <v>358.77</v>
      </c>
      <c r="E93" s="1">
        <v>63.4</v>
      </c>
      <c r="G93" s="1">
        <f t="shared" si="1"/>
        <v>22746.018</v>
      </c>
      <c r="H93" s="1">
        <v>0.81499999999999995</v>
      </c>
      <c r="J93" s="1" t="s">
        <v>16</v>
      </c>
    </row>
    <row r="94" spans="2:11" ht="28.5" x14ac:dyDescent="0.45">
      <c r="B94" s="1" t="s">
        <v>18</v>
      </c>
      <c r="C94" s="1">
        <v>345.86</v>
      </c>
      <c r="E94" s="1">
        <v>63.4</v>
      </c>
      <c r="G94" s="1">
        <f t="shared" si="1"/>
        <v>21927.524000000001</v>
      </c>
      <c r="H94" s="1">
        <v>0.81499999999999995</v>
      </c>
      <c r="J94" s="1" t="s">
        <v>16</v>
      </c>
    </row>
    <row r="95" spans="2:11" x14ac:dyDescent="0.45">
      <c r="B95" s="19" t="s">
        <v>56</v>
      </c>
      <c r="C95">
        <f>AVERAGE(C88:C94)</f>
        <v>347.28285714285715</v>
      </c>
      <c r="E95">
        <f>AVERAGE(E88:E94)</f>
        <v>63.957142857142856</v>
      </c>
      <c r="G95">
        <f>AVERAGE(G88:G94)</f>
        <v>22200.358714285718</v>
      </c>
      <c r="H95">
        <f>AVERAGE(H88:H94)</f>
        <v>0.81499999999999972</v>
      </c>
    </row>
    <row r="96" spans="2:11" x14ac:dyDescent="0.45">
      <c r="C96" s="20" t="s">
        <v>52</v>
      </c>
      <c r="D96">
        <f>C95*E95</f>
        <v>22211.21930612245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F043-650F-4BF1-96D9-7D6A911945A1}">
  <dimension ref="B1:K102"/>
  <sheetViews>
    <sheetView workbookViewId="0">
      <selection activeCell="A4" sqref="A4:XFD4"/>
    </sheetView>
  </sheetViews>
  <sheetFormatPr defaultRowHeight="14.25" x14ac:dyDescent="0.45"/>
  <cols>
    <col min="4" max="4" width="14.53125" bestFit="1" customWidth="1"/>
    <col min="6" max="6" width="14.53125" bestFit="1" customWidth="1"/>
    <col min="9" max="9" width="14.53125" bestFit="1" customWidth="1"/>
    <col min="11" max="11" width="14.53125" bestFit="1" customWidth="1"/>
  </cols>
  <sheetData>
    <row r="1" spans="2:11" ht="17.649999999999999" x14ac:dyDescent="0.45">
      <c r="E1" s="11" t="s">
        <v>53</v>
      </c>
    </row>
    <row r="3" spans="2:11" ht="17.649999999999999" x14ac:dyDescent="0.45">
      <c r="B3" s="11" t="s">
        <v>39</v>
      </c>
    </row>
    <row r="4" spans="2:11" ht="28.9" thickBot="1" x14ac:dyDescent="0.5">
      <c r="B4" s="2" t="s">
        <v>1</v>
      </c>
      <c r="C4" s="2" t="s">
        <v>58</v>
      </c>
      <c r="D4" s="9">
        <f>_xlfn.STDEV.S(C5:C9)</f>
        <v>35.382111016727059</v>
      </c>
      <c r="E4" s="2" t="s">
        <v>59</v>
      </c>
      <c r="F4" s="9">
        <f>_xlfn.STDEV.S(E5:E9)</f>
        <v>5.3572380943915494</v>
      </c>
      <c r="G4" s="2" t="s">
        <v>60</v>
      </c>
      <c r="H4" s="2" t="s">
        <v>61</v>
      </c>
      <c r="I4" s="9">
        <f>_xlfn.STDEV.S(H5:H9)</f>
        <v>5.3129088078001071E-3</v>
      </c>
      <c r="J4" s="2" t="s">
        <v>5</v>
      </c>
      <c r="K4" s="9">
        <f>_xlfn.STDEV.S(J5:J9)</f>
        <v>1.4092089979843297E-2</v>
      </c>
    </row>
    <row r="5" spans="2:11" ht="28.5" x14ac:dyDescent="0.45">
      <c r="B5" s="1" t="s">
        <v>54</v>
      </c>
      <c r="C5" s="1">
        <v>140.86000000000001</v>
      </c>
      <c r="E5" s="1">
        <v>128.19999999999999</v>
      </c>
      <c r="G5" s="1"/>
      <c r="H5" s="1">
        <v>0.47810000000000002</v>
      </c>
      <c r="J5" s="1">
        <v>1.4185000000000001</v>
      </c>
    </row>
    <row r="6" spans="2:11" ht="28.5" x14ac:dyDescent="0.45">
      <c r="B6" s="1" t="s">
        <v>54</v>
      </c>
      <c r="C6" s="1">
        <v>121.61</v>
      </c>
      <c r="E6" s="1">
        <v>131</v>
      </c>
      <c r="G6" s="1"/>
      <c r="H6" s="1">
        <v>0.48199999999999998</v>
      </c>
      <c r="J6" s="1">
        <v>1.4108000000000001</v>
      </c>
    </row>
    <row r="7" spans="2:11" ht="28.5" x14ac:dyDescent="0.45">
      <c r="B7" s="1" t="s">
        <v>54</v>
      </c>
      <c r="C7" s="1">
        <v>214.7</v>
      </c>
      <c r="E7" s="1">
        <v>117.6</v>
      </c>
      <c r="G7" s="1"/>
      <c r="H7" s="1">
        <v>0.46879999999999999</v>
      </c>
      <c r="J7" s="1">
        <v>1.4407000000000001</v>
      </c>
    </row>
    <row r="8" spans="2:11" ht="28.5" x14ac:dyDescent="0.45">
      <c r="B8" s="1" t="s">
        <v>54</v>
      </c>
      <c r="C8" s="1">
        <v>174.42</v>
      </c>
      <c r="E8" s="1">
        <v>121.3</v>
      </c>
      <c r="G8" s="1"/>
      <c r="H8" s="1">
        <v>0.47410000000000002</v>
      </c>
      <c r="J8" s="1">
        <v>1.4343999999999999</v>
      </c>
    </row>
    <row r="9" spans="2:11" ht="28.5" x14ac:dyDescent="0.45">
      <c r="B9" s="1" t="s">
        <v>54</v>
      </c>
      <c r="C9" s="1">
        <v>161.78</v>
      </c>
      <c r="E9" s="1">
        <v>123.4</v>
      </c>
      <c r="G9" s="1"/>
      <c r="H9" s="1">
        <v>0.48039999999999999</v>
      </c>
      <c r="J9" s="1">
        <v>1.4095</v>
      </c>
    </row>
    <row r="10" spans="2:11" x14ac:dyDescent="0.45">
      <c r="B10" s="19" t="s">
        <v>56</v>
      </c>
      <c r="C10" s="14">
        <f>AVERAGE(C5:C9)</f>
        <v>162.67400000000001</v>
      </c>
      <c r="D10" s="14"/>
      <c r="E10" s="14">
        <f>AVERAGE(E5:E9)</f>
        <v>124.3</v>
      </c>
      <c r="F10" s="14"/>
      <c r="G10" s="14"/>
      <c r="H10" s="14">
        <f>AVERAGE(H5:H9)</f>
        <v>0.47667999999999999</v>
      </c>
      <c r="I10" s="14"/>
      <c r="J10" s="14">
        <f>AVERAGE(J5:J9)</f>
        <v>1.4227799999999999</v>
      </c>
    </row>
    <row r="11" spans="2:11" x14ac:dyDescent="0.45">
      <c r="D11" s="2" t="s">
        <v>52</v>
      </c>
      <c r="E11">
        <f>C10*E10</f>
        <v>20220.378199999999</v>
      </c>
    </row>
    <row r="12" spans="2:11" ht="28.9" thickBot="1" x14ac:dyDescent="0.5">
      <c r="B12" s="2" t="s">
        <v>1</v>
      </c>
      <c r="C12" s="2" t="s">
        <v>58</v>
      </c>
      <c r="D12" s="9">
        <f>_xlfn.STDEV.S(C14:C18)</f>
        <v>0.1418449858119776</v>
      </c>
      <c r="E12" s="2" t="s">
        <v>59</v>
      </c>
      <c r="F12" s="9">
        <f>_xlfn.STDEV.S(E14:E18)</f>
        <v>0.270185121722129</v>
      </c>
      <c r="G12" s="2" t="s">
        <v>60</v>
      </c>
      <c r="H12" s="2" t="s">
        <v>61</v>
      </c>
      <c r="I12" s="9">
        <f>_xlfn.STDEV.S(H14:H18)</f>
        <v>5.3751279054549033E-3</v>
      </c>
      <c r="J12" s="2" t="s">
        <v>5</v>
      </c>
      <c r="K12" s="9">
        <f>_xlfn.STDEV.S(J14:J18)</f>
        <v>9.4309066372221372E-3</v>
      </c>
    </row>
    <row r="13" spans="2:11" x14ac:dyDescent="0.45">
      <c r="B13" s="1" t="s">
        <v>55</v>
      </c>
      <c r="C13" s="17">
        <v>64.14</v>
      </c>
      <c r="E13">
        <v>180.3</v>
      </c>
      <c r="G13" s="1"/>
      <c r="H13" s="1">
        <v>0.4738</v>
      </c>
      <c r="J13" s="1">
        <v>1.4216</v>
      </c>
    </row>
    <row r="14" spans="2:11" x14ac:dyDescent="0.45">
      <c r="B14" s="1" t="s">
        <v>55</v>
      </c>
      <c r="C14" s="1">
        <v>11.89</v>
      </c>
      <c r="E14" s="1">
        <v>248.6</v>
      </c>
      <c r="G14" s="1"/>
      <c r="H14" s="1">
        <v>0.48330000000000001</v>
      </c>
      <c r="J14" s="1">
        <v>1.4117999999999999</v>
      </c>
    </row>
    <row r="15" spans="2:11" x14ac:dyDescent="0.45">
      <c r="B15" s="1" t="s">
        <v>55</v>
      </c>
      <c r="C15" s="1">
        <v>11.82</v>
      </c>
      <c r="E15" s="1">
        <v>249.1</v>
      </c>
      <c r="G15" s="1"/>
      <c r="H15" s="1">
        <v>0.47389999999999999</v>
      </c>
      <c r="J15" s="1">
        <v>1.4159999999999999</v>
      </c>
    </row>
    <row r="16" spans="2:11" x14ac:dyDescent="0.45">
      <c r="B16" s="1" t="s">
        <v>55</v>
      </c>
      <c r="C16" s="1">
        <v>11.6</v>
      </c>
      <c r="E16" s="1">
        <v>249.2</v>
      </c>
      <c r="G16" s="1"/>
      <c r="H16" s="1">
        <v>0.47310000000000002</v>
      </c>
      <c r="J16" s="1">
        <v>1.4311</v>
      </c>
    </row>
    <row r="17" spans="2:11" x14ac:dyDescent="0.45">
      <c r="B17" s="1" t="s">
        <v>55</v>
      </c>
      <c r="C17" s="1">
        <v>11.6</v>
      </c>
      <c r="E17" s="1">
        <v>249.3</v>
      </c>
      <c r="G17" s="1"/>
      <c r="H17" s="1">
        <v>0.48330000000000001</v>
      </c>
      <c r="J17" s="1">
        <v>1.4077999999999999</v>
      </c>
    </row>
    <row r="18" spans="2:11" x14ac:dyDescent="0.45">
      <c r="B18" s="1" t="s">
        <v>55</v>
      </c>
      <c r="C18" s="1">
        <v>11.6</v>
      </c>
      <c r="E18" s="1">
        <v>249</v>
      </c>
      <c r="G18" s="1"/>
      <c r="H18" s="1">
        <v>0.48330000000000001</v>
      </c>
      <c r="J18" s="1">
        <v>1.4092</v>
      </c>
    </row>
    <row r="19" spans="2:11" x14ac:dyDescent="0.45">
      <c r="B19" s="19" t="s">
        <v>56</v>
      </c>
      <c r="C19" s="14">
        <f>AVERAGE(C13:C18)</f>
        <v>20.441666666666663</v>
      </c>
      <c r="D19" s="14"/>
      <c r="E19" s="14">
        <f>AVERAGE(E14:E17)</f>
        <v>249.05</v>
      </c>
      <c r="F19" s="14"/>
      <c r="G19" s="14" t="e">
        <f>AVERAGE(G13:G17)</f>
        <v>#DIV/0!</v>
      </c>
      <c r="H19" s="14">
        <f>AVERAGE(H13:H18)</f>
        <v>0.47844999999999999</v>
      </c>
      <c r="I19" s="14"/>
      <c r="J19" s="14">
        <f>AVERAGE(J13:J18)</f>
        <v>1.4162499999999998</v>
      </c>
    </row>
    <row r="21" spans="2:11" x14ac:dyDescent="0.45">
      <c r="B21" s="19" t="s">
        <v>57</v>
      </c>
      <c r="C21">
        <f>(C14+C15+C16+C17+C18)/5</f>
        <v>11.702000000000002</v>
      </c>
      <c r="E21">
        <f>(E14+E15+E16+E17+E18)/5</f>
        <v>249.04000000000002</v>
      </c>
      <c r="H21">
        <f>(H14+H15+H16+H17+H18)/5</f>
        <v>0.47938000000000003</v>
      </c>
      <c r="J21">
        <f>(J14+J15+J16+J17+J18)/5</f>
        <v>1.4151799999999999</v>
      </c>
    </row>
    <row r="22" spans="2:11" x14ac:dyDescent="0.45">
      <c r="C22" s="2" t="s">
        <v>52</v>
      </c>
      <c r="D22" s="3">
        <f>C21*E21</f>
        <v>2914.2660800000008</v>
      </c>
    </row>
    <row r="23" spans="2:11" ht="17.649999999999999" x14ac:dyDescent="0.45">
      <c r="B23" s="11" t="s">
        <v>40</v>
      </c>
      <c r="C23" s="3"/>
      <c r="E23" s="3"/>
      <c r="F23" s="3"/>
      <c r="G23" s="3"/>
    </row>
    <row r="24" spans="2:11" ht="28.9" thickBot="1" x14ac:dyDescent="0.5">
      <c r="B24" s="2" t="s">
        <v>1</v>
      </c>
      <c r="C24" s="2" t="s">
        <v>58</v>
      </c>
      <c r="D24" s="9">
        <f>_xlfn.STDEV.S(C25:C29)</f>
        <v>182.67506378813735</v>
      </c>
      <c r="E24" s="2" t="s">
        <v>59</v>
      </c>
      <c r="F24" s="9">
        <f>_xlfn.STDEV.S(E25:E29)</f>
        <v>6.8455825172150231</v>
      </c>
      <c r="G24" s="2" t="s">
        <v>60</v>
      </c>
      <c r="H24" s="2" t="s">
        <v>61</v>
      </c>
      <c r="I24" s="9" t="e">
        <f>_xlfn.STDEV.S(H25:H29)</f>
        <v>#DIV/0!</v>
      </c>
      <c r="J24" s="2" t="s">
        <v>5</v>
      </c>
      <c r="K24" s="9">
        <f>_xlfn.STDEV.S(J25:J29)</f>
        <v>0.1051156601082827</v>
      </c>
    </row>
    <row r="25" spans="2:11" ht="28.5" x14ac:dyDescent="0.45">
      <c r="B25" s="1" t="s">
        <v>54</v>
      </c>
      <c r="C25" s="1">
        <v>518.35</v>
      </c>
      <c r="E25" s="1">
        <v>123.4</v>
      </c>
      <c r="G25" s="1"/>
      <c r="H25" s="1"/>
      <c r="J25" s="1">
        <v>3.6413000000000002</v>
      </c>
    </row>
    <row r="26" spans="2:11" ht="28.5" x14ac:dyDescent="0.45">
      <c r="B26" s="1" t="s">
        <v>54</v>
      </c>
      <c r="C26" s="1">
        <v>612.11</v>
      </c>
      <c r="E26" s="1">
        <v>121.4</v>
      </c>
      <c r="G26" s="1"/>
      <c r="H26" s="1"/>
      <c r="J26" s="1">
        <v>3.4302000000000001</v>
      </c>
    </row>
    <row r="27" spans="2:11" ht="28.5" x14ac:dyDescent="0.45">
      <c r="B27" s="1" t="s">
        <v>54</v>
      </c>
      <c r="C27" s="1">
        <v>513.39</v>
      </c>
      <c r="E27" s="1">
        <v>123.1</v>
      </c>
      <c r="G27" s="1"/>
      <c r="H27" s="1"/>
      <c r="J27" s="1">
        <v>3.3997000000000002</v>
      </c>
    </row>
    <row r="28" spans="2:11" ht="28.5" x14ac:dyDescent="0.45">
      <c r="B28" s="1" t="s">
        <v>54</v>
      </c>
      <c r="C28" s="1">
        <v>480.16</v>
      </c>
      <c r="E28" s="1">
        <v>128.19999999999999</v>
      </c>
      <c r="G28" s="1"/>
      <c r="H28" s="1"/>
      <c r="J28" s="1">
        <v>3.4028999999999998</v>
      </c>
    </row>
    <row r="29" spans="2:11" ht="28.5" x14ac:dyDescent="0.45">
      <c r="B29" s="1" t="s">
        <v>54</v>
      </c>
      <c r="C29" s="1">
        <v>924.46</v>
      </c>
      <c r="E29" s="1">
        <v>109.8</v>
      </c>
      <c r="G29" s="1"/>
      <c r="H29" s="1"/>
      <c r="J29" s="1">
        <v>3.3993000000000002</v>
      </c>
    </row>
    <row r="30" spans="2:11" x14ac:dyDescent="0.45">
      <c r="B30" s="19" t="s">
        <v>56</v>
      </c>
      <c r="C30" s="14">
        <f>AVERAGE(C25:C29)</f>
        <v>609.69399999999996</v>
      </c>
      <c r="D30" s="14"/>
      <c r="E30" s="14">
        <f>AVERAGE(E25:E29)</f>
        <v>121.17999999999999</v>
      </c>
      <c r="F30" s="14"/>
      <c r="G30" s="14" t="e">
        <f>AVERAGE(G25:G29)</f>
        <v>#DIV/0!</v>
      </c>
      <c r="H30" s="14"/>
      <c r="I30" s="14"/>
      <c r="J30" s="14">
        <f>AVERAGE(J25:J29)</f>
        <v>3.4546799999999998</v>
      </c>
    </row>
    <row r="31" spans="2:11" x14ac:dyDescent="0.45">
      <c r="C31" s="2" t="s">
        <v>52</v>
      </c>
      <c r="D31">
        <f>C30*E30</f>
        <v>73882.718919999985</v>
      </c>
    </row>
    <row r="32" spans="2:11" ht="28.9" thickBot="1" x14ac:dyDescent="0.5">
      <c r="B32" s="2" t="s">
        <v>1</v>
      </c>
      <c r="C32" s="2" t="s">
        <v>58</v>
      </c>
      <c r="D32" s="9">
        <f>_xlfn.STDEV.S(C33:C37)</f>
        <v>0.57769369046234331</v>
      </c>
      <c r="E32" s="2" t="s">
        <v>59</v>
      </c>
      <c r="F32" s="9">
        <f>_xlfn.STDEV.S(E33:E37)</f>
        <v>2.8970674828177545</v>
      </c>
      <c r="G32" s="2" t="s">
        <v>60</v>
      </c>
      <c r="H32" s="2" t="s">
        <v>61</v>
      </c>
      <c r="I32" s="9" t="e">
        <f>_xlfn.STDEV.S(H33:H37)</f>
        <v>#DIV/0!</v>
      </c>
      <c r="J32" s="2" t="s">
        <v>5</v>
      </c>
      <c r="K32" s="9">
        <f>_xlfn.STDEV.S(J33:J37)</f>
        <v>8.9258853902568241E-2</v>
      </c>
    </row>
    <row r="33" spans="2:11" x14ac:dyDescent="0.45">
      <c r="B33" s="1" t="s">
        <v>55</v>
      </c>
      <c r="C33" s="1">
        <v>34.56</v>
      </c>
      <c r="E33" s="1">
        <v>164.2</v>
      </c>
      <c r="G33" s="1"/>
      <c r="H33" s="1"/>
      <c r="J33" s="1">
        <v>3.6394000000000002</v>
      </c>
    </row>
    <row r="34" spans="2:11" x14ac:dyDescent="0.45">
      <c r="B34" s="1" t="s">
        <v>55</v>
      </c>
      <c r="C34" s="1">
        <v>33.11</v>
      </c>
      <c r="E34" s="1">
        <v>172.1</v>
      </c>
      <c r="G34" s="1"/>
      <c r="H34" s="1"/>
      <c r="J34" s="1">
        <v>3.4878</v>
      </c>
    </row>
    <row r="35" spans="2:11" x14ac:dyDescent="0.45">
      <c r="B35" s="1" t="s">
        <v>55</v>
      </c>
      <c r="C35" s="1">
        <v>33.58</v>
      </c>
      <c r="E35" s="1">
        <v>167.5</v>
      </c>
      <c r="G35" s="1"/>
      <c r="H35" s="1"/>
      <c r="J35" s="1">
        <v>3.4546999999999999</v>
      </c>
    </row>
    <row r="36" spans="2:11" x14ac:dyDescent="0.45">
      <c r="B36" s="1" t="s">
        <v>55</v>
      </c>
      <c r="C36" s="1">
        <v>34.200000000000003</v>
      </c>
      <c r="E36" s="1">
        <v>166.3</v>
      </c>
      <c r="G36" s="1"/>
      <c r="H36" s="1"/>
      <c r="J36" s="1">
        <v>3.4419</v>
      </c>
    </row>
    <row r="37" spans="2:11" x14ac:dyDescent="0.45">
      <c r="B37" s="1" t="s">
        <v>55</v>
      </c>
      <c r="C37" s="1">
        <v>33.53</v>
      </c>
      <c r="E37" s="1">
        <v>167.2</v>
      </c>
      <c r="G37" s="1"/>
      <c r="H37" s="1"/>
      <c r="J37" s="1">
        <v>3.4123999999999999</v>
      </c>
    </row>
    <row r="38" spans="2:11" x14ac:dyDescent="0.45">
      <c r="B38" s="19" t="s">
        <v>56</v>
      </c>
      <c r="C38" s="14">
        <f>AVERAGE(C33:C37)</f>
        <v>33.795999999999999</v>
      </c>
      <c r="E38" s="14">
        <f>AVERAGE(E33:E37)</f>
        <v>167.45999999999998</v>
      </c>
      <c r="G38" s="14" t="e">
        <f>AVERAGE(G33:G37)</f>
        <v>#DIV/0!</v>
      </c>
      <c r="J38" s="14">
        <f>AVERAGE(J33:J37)</f>
        <v>3.4872399999999999</v>
      </c>
    </row>
    <row r="39" spans="2:11" x14ac:dyDescent="0.45">
      <c r="C39" s="2" t="s">
        <v>52</v>
      </c>
      <c r="D39">
        <f>C38*E38</f>
        <v>5659.4781599999988</v>
      </c>
    </row>
    <row r="40" spans="2:11" ht="17.649999999999999" x14ac:dyDescent="0.45">
      <c r="B40" s="11" t="s">
        <v>41</v>
      </c>
      <c r="C40" s="3"/>
      <c r="D40" s="3"/>
      <c r="E40" s="3"/>
      <c r="F40" s="3"/>
      <c r="G40" s="3"/>
    </row>
    <row r="41" spans="2:11" ht="28.9" thickBot="1" x14ac:dyDescent="0.5">
      <c r="B41" s="2" t="s">
        <v>1</v>
      </c>
      <c r="C41" s="2" t="s">
        <v>58</v>
      </c>
      <c r="D41" s="9">
        <f>_xlfn.STDEV.S(C42:C46)</f>
        <v>345.83126770146163</v>
      </c>
      <c r="E41" s="2" t="s">
        <v>59</v>
      </c>
      <c r="F41" s="9">
        <f>_xlfn.STDEV.S(E42:E46)</f>
        <v>9.0341020583121594</v>
      </c>
      <c r="G41" s="2" t="s">
        <v>60</v>
      </c>
      <c r="H41" s="2" t="s">
        <v>61</v>
      </c>
      <c r="I41" s="9" t="e">
        <f>_xlfn.STDEV.S(H42:H46)</f>
        <v>#DIV/0!</v>
      </c>
      <c r="J41" s="2" t="s">
        <v>5</v>
      </c>
      <c r="K41" s="9">
        <f>_xlfn.STDEV.S(J42:J46)</f>
        <v>7.9434079588045811E-2</v>
      </c>
    </row>
    <row r="42" spans="2:11" ht="28.5" x14ac:dyDescent="0.45">
      <c r="B42" s="1" t="s">
        <v>54</v>
      </c>
      <c r="C42" s="1">
        <v>1192.3599999999999</v>
      </c>
      <c r="E42" s="1">
        <v>132.1</v>
      </c>
      <c r="G42" s="1"/>
      <c r="H42" s="1"/>
      <c r="J42" s="1">
        <v>2.8172000000000001</v>
      </c>
    </row>
    <row r="43" spans="2:11" ht="28.5" x14ac:dyDescent="0.45">
      <c r="B43" s="1" t="s">
        <v>54</v>
      </c>
      <c r="C43" s="1">
        <v>1389.54</v>
      </c>
      <c r="E43" s="1">
        <v>130.4</v>
      </c>
      <c r="G43" s="1"/>
      <c r="H43" s="1"/>
      <c r="J43" s="1">
        <v>2.8287</v>
      </c>
    </row>
    <row r="44" spans="2:11" ht="28.5" x14ac:dyDescent="0.45">
      <c r="B44" s="1" t="s">
        <v>54</v>
      </c>
      <c r="C44" s="1">
        <v>1773.54</v>
      </c>
      <c r="E44" s="1">
        <v>115.3</v>
      </c>
      <c r="G44" s="1"/>
      <c r="H44" s="1"/>
      <c r="J44" s="1">
        <v>2.9737</v>
      </c>
    </row>
    <row r="45" spans="2:11" ht="28.5" x14ac:dyDescent="0.45">
      <c r="B45" s="1" t="s">
        <v>54</v>
      </c>
      <c r="C45" s="1">
        <v>1381.74</v>
      </c>
      <c r="E45" s="1">
        <v>127.3</v>
      </c>
      <c r="G45" s="1"/>
      <c r="H45" s="1"/>
      <c r="J45" s="1">
        <v>2.7722000000000002</v>
      </c>
    </row>
    <row r="46" spans="2:11" ht="28.5" x14ac:dyDescent="0.45">
      <c r="B46" s="1" t="s">
        <v>54</v>
      </c>
      <c r="C46" s="1">
        <v>2046.68</v>
      </c>
      <c r="E46" s="1">
        <v>112.4</v>
      </c>
      <c r="G46" s="1"/>
      <c r="H46" s="1"/>
      <c r="J46" s="1">
        <v>2.7934999999999999</v>
      </c>
    </row>
    <row r="47" spans="2:11" x14ac:dyDescent="0.45">
      <c r="B47" s="19" t="s">
        <v>56</v>
      </c>
      <c r="C47" s="14">
        <f>AVERAGE(C42:C46)</f>
        <v>1556.7719999999999</v>
      </c>
      <c r="E47" s="14">
        <f>AVERAGE(E42:E46)</f>
        <v>123.5</v>
      </c>
      <c r="F47">
        <f>C47*E47</f>
        <v>192261.342</v>
      </c>
      <c r="G47" s="14" t="e">
        <f>AVERAGE(G42:G46)</f>
        <v>#DIV/0!</v>
      </c>
      <c r="J47" s="14">
        <f>AVERAGE(J42:J46)</f>
        <v>2.8370600000000001</v>
      </c>
    </row>
    <row r="48" spans="2:11" x14ac:dyDescent="0.45">
      <c r="B48" s="19"/>
      <c r="C48" s="2" t="s">
        <v>52</v>
      </c>
      <c r="D48">
        <f>C47*E47</f>
        <v>192261.342</v>
      </c>
      <c r="E48" s="14"/>
      <c r="G48" s="14"/>
      <c r="J48" s="14"/>
    </row>
    <row r="49" spans="2:11" ht="28.9" thickBot="1" x14ac:dyDescent="0.5">
      <c r="B49" s="2" t="s">
        <v>1</v>
      </c>
      <c r="C49" s="2" t="s">
        <v>58</v>
      </c>
      <c r="D49" s="9">
        <f>_xlfn.STDEV.S(C51:C55)</f>
        <v>0.14889593681494531</v>
      </c>
      <c r="E49" s="2" t="s">
        <v>59</v>
      </c>
      <c r="F49" s="9">
        <f>_xlfn.STDEV.S(E51:E55)</f>
        <v>0.46084704620948513</v>
      </c>
      <c r="G49" s="2" t="s">
        <v>60</v>
      </c>
      <c r="H49" s="2" t="s">
        <v>61</v>
      </c>
      <c r="I49" s="9" t="e">
        <f>_xlfn.STDEV.S(H50:H55)</f>
        <v>#DIV/0!</v>
      </c>
      <c r="J49" s="2" t="s">
        <v>5</v>
      </c>
      <c r="K49" s="9">
        <f>_xlfn.STDEV.S(J51:J55)</f>
        <v>5.0220284746305383E-2</v>
      </c>
    </row>
    <row r="50" spans="2:11" ht="16.149999999999999" thickBot="1" x14ac:dyDescent="0.5">
      <c r="B50" s="1" t="s">
        <v>55</v>
      </c>
      <c r="C50" s="18">
        <v>600.15</v>
      </c>
      <c r="D50" s="9"/>
      <c r="E50" s="1">
        <v>100</v>
      </c>
      <c r="F50" s="9"/>
      <c r="G50" s="1"/>
      <c r="H50" s="1"/>
      <c r="I50" s="9"/>
      <c r="J50" s="1">
        <v>2.8595999999999999</v>
      </c>
      <c r="K50" s="9"/>
    </row>
    <row r="51" spans="2:11" x14ac:dyDescent="0.45">
      <c r="B51" s="1" t="s">
        <v>55</v>
      </c>
      <c r="C51" s="15">
        <v>20.239999999999998</v>
      </c>
      <c r="E51" s="1">
        <v>274.33</v>
      </c>
      <c r="G51" s="1"/>
      <c r="H51" s="1"/>
      <c r="J51" s="1">
        <v>2.7982999999999998</v>
      </c>
    </row>
    <row r="52" spans="2:11" x14ac:dyDescent="0.45">
      <c r="B52" s="1" t="s">
        <v>55</v>
      </c>
      <c r="C52" s="15">
        <v>20.13</v>
      </c>
      <c r="E52" s="1">
        <v>275.10000000000002</v>
      </c>
      <c r="G52" s="1"/>
      <c r="H52" s="1"/>
      <c r="J52" s="1">
        <v>2.7909000000000002</v>
      </c>
    </row>
    <row r="53" spans="2:11" x14ac:dyDescent="0.45">
      <c r="B53" s="1" t="s">
        <v>55</v>
      </c>
      <c r="C53" s="15">
        <v>20.43</v>
      </c>
      <c r="E53" s="1">
        <v>275</v>
      </c>
      <c r="G53" s="1"/>
      <c r="H53" s="1"/>
      <c r="J53" s="1">
        <v>2.8683999999999998</v>
      </c>
    </row>
    <row r="54" spans="2:11" x14ac:dyDescent="0.45">
      <c r="B54" s="1" t="s">
        <v>55</v>
      </c>
      <c r="C54" s="15">
        <v>20.46</v>
      </c>
      <c r="E54" s="1">
        <v>274</v>
      </c>
      <c r="G54" s="1"/>
      <c r="H54" s="1"/>
      <c r="J54" s="1">
        <v>2.8921999999999999</v>
      </c>
    </row>
    <row r="55" spans="2:11" x14ac:dyDescent="0.45">
      <c r="B55" s="1" t="s">
        <v>55</v>
      </c>
      <c r="C55" s="15">
        <v>20.45</v>
      </c>
      <c r="E55" s="1">
        <v>274.7</v>
      </c>
      <c r="G55" s="1"/>
      <c r="H55" s="1"/>
      <c r="J55" s="1">
        <v>2.8925999999999998</v>
      </c>
    </row>
    <row r="56" spans="2:11" x14ac:dyDescent="0.45">
      <c r="B56" s="19" t="s">
        <v>56</v>
      </c>
      <c r="C56" s="14">
        <f>AVERAGE(C51:C55)</f>
        <v>20.341999999999999</v>
      </c>
      <c r="E56" s="14">
        <f>AVERAGE(E51:E55)</f>
        <v>274.62600000000003</v>
      </c>
      <c r="G56" s="14" t="e">
        <f>AVERAGE(G50:G55)</f>
        <v>#DIV/0!</v>
      </c>
      <c r="H56" s="1"/>
      <c r="J56" s="14">
        <f>AVERAGE(J50:J55)</f>
        <v>2.8503333333333329</v>
      </c>
    </row>
    <row r="57" spans="2:11" x14ac:dyDescent="0.45">
      <c r="B57" s="1"/>
      <c r="C57" s="2" t="s">
        <v>52</v>
      </c>
      <c r="D57">
        <f>C56*E56</f>
        <v>5586.4420920000002</v>
      </c>
      <c r="E57" s="1"/>
      <c r="G57" s="1"/>
      <c r="H57" s="1"/>
      <c r="J57" s="1"/>
    </row>
    <row r="58" spans="2:11" x14ac:dyDescent="0.45">
      <c r="B58" s="2"/>
    </row>
    <row r="59" spans="2:11" x14ac:dyDescent="0.45">
      <c r="B59" s="2"/>
    </row>
    <row r="60" spans="2:11" ht="17.649999999999999" x14ac:dyDescent="0.45">
      <c r="B60" s="11" t="s">
        <v>43</v>
      </c>
      <c r="C60" s="3"/>
      <c r="D60" s="3"/>
      <c r="E60" s="3"/>
      <c r="F60" s="3"/>
      <c r="G60" s="3"/>
    </row>
    <row r="61" spans="2:11" ht="28.9" thickBot="1" x14ac:dyDescent="0.5">
      <c r="B61" s="2" t="s">
        <v>1</v>
      </c>
      <c r="C61" s="2" t="s">
        <v>58</v>
      </c>
      <c r="D61" s="9">
        <f>_xlfn.STDEV.S(C62:C66)</f>
        <v>5.2079909754146074</v>
      </c>
      <c r="E61" s="2" t="s">
        <v>59</v>
      </c>
      <c r="F61" s="9">
        <f>_xlfn.STDEV.S(E62:E66)</f>
        <v>2.0656718035544754</v>
      </c>
      <c r="G61" s="2" t="s">
        <v>60</v>
      </c>
      <c r="H61" s="2" t="s">
        <v>61</v>
      </c>
      <c r="I61" s="9">
        <f>_xlfn.STDEV.S(H62:H66)</f>
        <v>1.2827197667456438E-2</v>
      </c>
      <c r="J61" s="2" t="s">
        <v>5</v>
      </c>
      <c r="K61" s="9">
        <f>_xlfn.STDEV.S(J62:J66)</f>
        <v>1.6117940315065072E-2</v>
      </c>
    </row>
    <row r="62" spans="2:11" ht="28.5" x14ac:dyDescent="0.45">
      <c r="B62" s="1" t="s">
        <v>54</v>
      </c>
      <c r="C62" s="1">
        <v>122.04</v>
      </c>
      <c r="E62" s="1">
        <v>108.3</v>
      </c>
      <c r="G62" s="1"/>
      <c r="H62" s="1">
        <v>0.33179999999999998</v>
      </c>
      <c r="J62" s="1">
        <v>1.5142</v>
      </c>
    </row>
    <row r="63" spans="2:11" ht="28.5" x14ac:dyDescent="0.45">
      <c r="B63" s="1" t="s">
        <v>54</v>
      </c>
      <c r="C63" s="1">
        <v>121.34</v>
      </c>
      <c r="E63" s="1">
        <v>110</v>
      </c>
      <c r="G63" s="1"/>
      <c r="H63" s="1">
        <v>0.31169999999999998</v>
      </c>
      <c r="J63" s="1">
        <v>1.5387999999999999</v>
      </c>
    </row>
    <row r="64" spans="2:11" ht="28.5" x14ac:dyDescent="0.45">
      <c r="B64" s="1" t="s">
        <v>54</v>
      </c>
      <c r="C64" s="1">
        <v>133.47</v>
      </c>
      <c r="E64" s="1">
        <v>106.7</v>
      </c>
      <c r="G64" s="1"/>
      <c r="H64" s="1">
        <v>0.31740000000000002</v>
      </c>
      <c r="J64" s="1">
        <v>1.5326</v>
      </c>
    </row>
    <row r="65" spans="2:11" ht="28.5" x14ac:dyDescent="0.45">
      <c r="B65" s="1" t="s">
        <v>54</v>
      </c>
      <c r="C65" s="1">
        <v>125.61</v>
      </c>
      <c r="E65" s="1">
        <v>111.7</v>
      </c>
      <c r="G65" s="1"/>
      <c r="H65" s="1">
        <v>0.34399999999999997</v>
      </c>
      <c r="J65" s="1">
        <v>1.4984</v>
      </c>
    </row>
    <row r="66" spans="2:11" ht="28.5" x14ac:dyDescent="0.45">
      <c r="B66" s="1" t="s">
        <v>54</v>
      </c>
      <c r="C66" s="1">
        <v>130.05000000000001</v>
      </c>
      <c r="E66" s="1">
        <v>107.2</v>
      </c>
      <c r="G66" s="1"/>
      <c r="H66" s="1">
        <v>0.33150000000000002</v>
      </c>
      <c r="J66" s="1">
        <v>1.5147999999999999</v>
      </c>
    </row>
    <row r="67" spans="2:11" x14ac:dyDescent="0.45">
      <c r="B67" s="19" t="s">
        <v>56</v>
      </c>
      <c r="C67" s="14">
        <f>AVERAGE(C62:C66)</f>
        <v>126.502</v>
      </c>
      <c r="E67" s="14">
        <f>AVERAGE(E62:E66)</f>
        <v>108.78</v>
      </c>
      <c r="H67" s="14">
        <f>AVERAGE(H62:H66)</f>
        <v>0.32728000000000002</v>
      </c>
      <c r="J67" s="14">
        <f>AVERAGE(J62:J66)</f>
        <v>1.51976</v>
      </c>
    </row>
    <row r="68" spans="2:11" x14ac:dyDescent="0.45">
      <c r="B68" s="19"/>
      <c r="C68" s="2" t="s">
        <v>52</v>
      </c>
      <c r="D68">
        <f>C67*E67</f>
        <v>13760.887559999999</v>
      </c>
      <c r="E68" s="14"/>
      <c r="H68" s="14"/>
      <c r="J68" s="14"/>
    </row>
    <row r="69" spans="2:11" ht="28.9" thickBot="1" x14ac:dyDescent="0.5">
      <c r="B69" s="2" t="s">
        <v>1</v>
      </c>
      <c r="C69" s="2" t="s">
        <v>2</v>
      </c>
      <c r="D69" s="9">
        <f>_xlfn.STDEV.S(C71:C75)</f>
        <v>6.300793600809329E-2</v>
      </c>
      <c r="E69" s="2" t="s">
        <v>59</v>
      </c>
      <c r="F69" s="9">
        <f>_xlfn.STDEV.S(E71:E75)</f>
        <v>0.35071355833500678</v>
      </c>
      <c r="G69" s="2" t="s">
        <v>60</v>
      </c>
      <c r="H69" s="2" t="s">
        <v>61</v>
      </c>
      <c r="I69" s="9">
        <f>_xlfn.STDEV.S(H71:H75)</f>
        <v>1.1071720733472281E-2</v>
      </c>
      <c r="J69" s="2" t="s">
        <v>5</v>
      </c>
      <c r="K69" s="9">
        <f>_xlfn.STDEV.S(J71:J75)</f>
        <v>1.1393726343914017E-2</v>
      </c>
    </row>
    <row r="70" spans="2:11" ht="16.149999999999999" thickBot="1" x14ac:dyDescent="0.5">
      <c r="B70" s="1" t="s">
        <v>55</v>
      </c>
      <c r="C70" s="17">
        <v>44</v>
      </c>
      <c r="D70" s="9"/>
      <c r="E70" s="1">
        <v>202.3</v>
      </c>
      <c r="F70" s="9"/>
      <c r="G70" s="1"/>
      <c r="H70" s="1">
        <v>0.3266</v>
      </c>
      <c r="I70" s="9"/>
      <c r="J70" s="1">
        <v>1.5205</v>
      </c>
      <c r="K70" s="9"/>
    </row>
    <row r="71" spans="2:11" x14ac:dyDescent="0.45">
      <c r="B71" s="1" t="s">
        <v>55</v>
      </c>
      <c r="C71" s="15">
        <v>7.97</v>
      </c>
      <c r="E71" s="1">
        <v>228</v>
      </c>
      <c r="G71" s="1"/>
      <c r="H71" s="1">
        <v>0.3135</v>
      </c>
      <c r="J71" s="1">
        <v>1.5415000000000001</v>
      </c>
    </row>
    <row r="72" spans="2:11" x14ac:dyDescent="0.45">
      <c r="B72" s="1" t="s">
        <v>55</v>
      </c>
      <c r="C72" s="15">
        <v>8</v>
      </c>
      <c r="E72" s="1">
        <v>227.5</v>
      </c>
      <c r="G72" s="1"/>
      <c r="H72" s="1">
        <v>0.3377</v>
      </c>
      <c r="J72" s="1">
        <v>1.5164</v>
      </c>
    </row>
    <row r="73" spans="2:11" x14ac:dyDescent="0.45">
      <c r="B73" s="1" t="s">
        <v>55</v>
      </c>
      <c r="C73" s="15">
        <v>8.1</v>
      </c>
      <c r="E73" s="1">
        <v>227.1</v>
      </c>
      <c r="G73" s="1"/>
      <c r="H73" s="1">
        <v>0.32429999999999998</v>
      </c>
      <c r="J73" s="1">
        <v>1.5245</v>
      </c>
    </row>
    <row r="74" spans="2:11" x14ac:dyDescent="0.45">
      <c r="B74" s="1" t="s">
        <v>55</v>
      </c>
      <c r="C74" s="15">
        <v>8.1</v>
      </c>
      <c r="E74" s="1">
        <v>227.4</v>
      </c>
      <c r="G74" s="1"/>
      <c r="H74" s="1">
        <v>0.32179999999999997</v>
      </c>
      <c r="J74" s="1">
        <v>1.5287999999999999</v>
      </c>
    </row>
    <row r="75" spans="2:11" x14ac:dyDescent="0.45">
      <c r="B75" s="1" t="s">
        <v>55</v>
      </c>
      <c r="C75" s="15">
        <v>7.99</v>
      </c>
      <c r="E75" s="1">
        <v>227.8</v>
      </c>
      <c r="G75" s="1"/>
      <c r="H75" s="1">
        <v>0.309</v>
      </c>
      <c r="J75" s="1">
        <v>1.5431999999999999</v>
      </c>
    </row>
    <row r="76" spans="2:11" x14ac:dyDescent="0.45">
      <c r="B76" s="19" t="s">
        <v>56</v>
      </c>
      <c r="C76" s="14">
        <f>AVERAGE(C71:C75)</f>
        <v>8.032</v>
      </c>
      <c r="E76" s="14">
        <f>AVERAGE(E71:E75)</f>
        <v>227.56</v>
      </c>
      <c r="G76" s="1"/>
      <c r="H76" s="14">
        <f>AVERAGE(H71:H75)</f>
        <v>0.32125999999999999</v>
      </c>
      <c r="J76" s="14">
        <f>AVERAGE(J71:J75)</f>
        <v>1.53088</v>
      </c>
    </row>
    <row r="77" spans="2:11" x14ac:dyDescent="0.45">
      <c r="B77" s="1"/>
      <c r="C77" s="2" t="s">
        <v>52</v>
      </c>
      <c r="D77">
        <f>C76*E76</f>
        <v>1827.7619199999999</v>
      </c>
      <c r="E77" s="1"/>
      <c r="G77" s="1"/>
      <c r="H77" s="1"/>
      <c r="J77" s="1"/>
    </row>
    <row r="78" spans="2:11" x14ac:dyDescent="0.45">
      <c r="B78" s="2"/>
    </row>
    <row r="80" spans="2:11" ht="17.649999999999999" x14ac:dyDescent="0.45">
      <c r="B80" s="11" t="s">
        <v>42</v>
      </c>
      <c r="C80" s="3"/>
      <c r="D80" s="3"/>
      <c r="E80" s="3"/>
      <c r="F80" s="3"/>
      <c r="G80" s="3"/>
    </row>
    <row r="81" spans="2:11" ht="28.9" thickBot="1" x14ac:dyDescent="0.5">
      <c r="B81" s="2" t="s">
        <v>1</v>
      </c>
      <c r="C81" s="2" t="s">
        <v>58</v>
      </c>
      <c r="D81" s="9">
        <f>_xlfn.STDEV.S(C82:C86)</f>
        <v>7.8166565742649832</v>
      </c>
      <c r="E81" s="2" t="s">
        <v>59</v>
      </c>
      <c r="F81" s="9">
        <f>_xlfn.STDEV.S(E82:E86)</f>
        <v>1.7846568297574743</v>
      </c>
      <c r="G81" s="2" t="s">
        <v>60</v>
      </c>
      <c r="H81" s="2" t="s">
        <v>61</v>
      </c>
      <c r="I81" s="9">
        <f>_xlfn.STDEV.S(H82:H86)</f>
        <v>1.2412670766236366E-16</v>
      </c>
      <c r="J81" s="2" t="s">
        <v>5</v>
      </c>
      <c r="K81" s="9" t="e">
        <f>_xlfn.STDEV.S(J82:J86)</f>
        <v>#DIV/0!</v>
      </c>
    </row>
    <row r="82" spans="2:11" ht="28.9" thickBot="1" x14ac:dyDescent="0.5">
      <c r="B82" s="1" t="s">
        <v>54</v>
      </c>
      <c r="C82" s="1">
        <v>84.27</v>
      </c>
      <c r="D82" s="9"/>
      <c r="E82" s="1">
        <v>136.5</v>
      </c>
      <c r="F82" s="9"/>
      <c r="G82" s="1"/>
      <c r="H82" s="1">
        <v>0.81499999999999995</v>
      </c>
      <c r="I82" s="9"/>
      <c r="J82" s="1"/>
    </row>
    <row r="83" spans="2:11" ht="28.5" x14ac:dyDescent="0.45">
      <c r="B83" s="1" t="s">
        <v>54</v>
      </c>
      <c r="C83" s="1">
        <v>82.94</v>
      </c>
      <c r="E83" s="1">
        <v>137.19999999999999</v>
      </c>
      <c r="G83" s="1"/>
      <c r="H83" s="1">
        <v>0.81499999999999995</v>
      </c>
      <c r="J83" s="1"/>
    </row>
    <row r="84" spans="2:11" ht="28.5" x14ac:dyDescent="0.45">
      <c r="B84" s="1" t="s">
        <v>54</v>
      </c>
      <c r="C84" s="1">
        <v>77.09</v>
      </c>
      <c r="E84" s="1">
        <v>138.1</v>
      </c>
      <c r="G84" s="1"/>
      <c r="H84" s="1">
        <v>0.81499999999999995</v>
      </c>
      <c r="J84" s="1"/>
    </row>
    <row r="85" spans="2:11" ht="28.5" x14ac:dyDescent="0.45">
      <c r="B85" s="1" t="s">
        <v>54</v>
      </c>
      <c r="C85" s="1">
        <v>68.75</v>
      </c>
      <c r="E85" s="1">
        <v>140.19999999999999</v>
      </c>
      <c r="G85" s="1"/>
      <c r="H85" s="1">
        <v>0.81499999999999995</v>
      </c>
      <c r="J85" s="1"/>
    </row>
    <row r="86" spans="2:11" ht="28.5" x14ac:dyDescent="0.45">
      <c r="B86" s="1" t="s">
        <v>54</v>
      </c>
      <c r="C86" s="1">
        <v>67.39</v>
      </c>
      <c r="E86" s="1">
        <v>140.5</v>
      </c>
      <c r="G86" s="1"/>
      <c r="H86" s="1">
        <v>0.81499999999999995</v>
      </c>
      <c r="J86" s="1"/>
    </row>
    <row r="87" spans="2:11" x14ac:dyDescent="0.45">
      <c r="B87" s="19" t="s">
        <v>56</v>
      </c>
      <c r="C87">
        <f>AVERAGE(C82:C86)</f>
        <v>76.087999999999994</v>
      </c>
      <c r="E87">
        <f>AVERAGE(E82:E86)</f>
        <v>138.5</v>
      </c>
      <c r="G87" s="1"/>
      <c r="H87">
        <f>AVERAGE(H82:H86)</f>
        <v>0.81499999999999984</v>
      </c>
      <c r="J87" s="1"/>
    </row>
    <row r="88" spans="2:11" x14ac:dyDescent="0.45">
      <c r="B88" s="1"/>
      <c r="C88" s="2" t="s">
        <v>52</v>
      </c>
      <c r="D88">
        <f>C87*E87</f>
        <v>10538.187999999998</v>
      </c>
      <c r="E88" s="1"/>
      <c r="G88" s="1"/>
      <c r="H88" s="1"/>
      <c r="J88" s="1"/>
    </row>
    <row r="89" spans="2:11" x14ac:dyDescent="0.45">
      <c r="B89" s="1"/>
    </row>
    <row r="93" spans="2:11" ht="17.649999999999999" x14ac:dyDescent="0.45">
      <c r="B93" s="11" t="s">
        <v>42</v>
      </c>
      <c r="C93" s="3"/>
      <c r="D93" s="3"/>
      <c r="E93" s="3"/>
      <c r="F93" s="3"/>
      <c r="G93" s="3"/>
    </row>
    <row r="94" spans="2:11" ht="28.9" thickBot="1" x14ac:dyDescent="0.5">
      <c r="B94" s="2" t="s">
        <v>1</v>
      </c>
      <c r="C94" s="2" t="s">
        <v>58</v>
      </c>
      <c r="D94" s="9">
        <f>_xlfn.STDEV.S(C96:C100)</f>
        <v>4.0865633483405224E-2</v>
      </c>
      <c r="E94" s="2" t="s">
        <v>59</v>
      </c>
      <c r="F94" s="9">
        <f>_xlfn.STDEV.S(E96:E100)</f>
        <v>0.96176920308356284</v>
      </c>
      <c r="G94" s="2" t="s">
        <v>60</v>
      </c>
      <c r="H94" s="2" t="s">
        <v>61</v>
      </c>
      <c r="I94" s="9">
        <f>_xlfn.STDEV.S(H96:H100)</f>
        <v>0</v>
      </c>
      <c r="J94" s="2" t="s">
        <v>5</v>
      </c>
      <c r="K94" s="9" t="e">
        <f>_xlfn.STDEV.S(J95:J100)</f>
        <v>#DIV/0!</v>
      </c>
    </row>
    <row r="95" spans="2:11" ht="16.149999999999999" thickBot="1" x14ac:dyDescent="0.5">
      <c r="B95" s="1" t="s">
        <v>55</v>
      </c>
      <c r="C95" s="17">
        <v>47.82</v>
      </c>
      <c r="D95" s="9"/>
      <c r="E95">
        <v>110.5</v>
      </c>
      <c r="F95" s="9"/>
      <c r="G95" s="1"/>
      <c r="H95" s="1">
        <v>0.81899999999999995</v>
      </c>
      <c r="J95" s="1"/>
    </row>
    <row r="96" spans="2:11" x14ac:dyDescent="0.45">
      <c r="B96" s="1" t="s">
        <v>55</v>
      </c>
      <c r="C96" s="1">
        <v>16.63</v>
      </c>
      <c r="E96" s="1">
        <v>176.9</v>
      </c>
      <c r="G96" s="1"/>
      <c r="H96" s="1">
        <v>0.81899999999999995</v>
      </c>
      <c r="J96" s="1"/>
    </row>
    <row r="97" spans="2:10" x14ac:dyDescent="0.45">
      <c r="B97" s="1" t="s">
        <v>55</v>
      </c>
      <c r="C97" s="1">
        <v>16.649999999999999</v>
      </c>
      <c r="E97" s="1">
        <v>177</v>
      </c>
      <c r="G97" s="1"/>
      <c r="H97" s="1">
        <v>0.81899999999999995</v>
      </c>
      <c r="J97" s="1"/>
    </row>
    <row r="98" spans="2:10" x14ac:dyDescent="0.45">
      <c r="B98" s="1" t="s">
        <v>55</v>
      </c>
      <c r="C98" s="1">
        <v>16.62</v>
      </c>
      <c r="E98" s="1">
        <v>176.8</v>
      </c>
      <c r="G98" s="1"/>
      <c r="H98" s="1">
        <v>0.81899999999999995</v>
      </c>
      <c r="J98" s="1"/>
    </row>
    <row r="99" spans="2:10" x14ac:dyDescent="0.45">
      <c r="B99" s="1" t="s">
        <v>55</v>
      </c>
      <c r="C99" s="1">
        <v>16.71</v>
      </c>
      <c r="E99" s="1">
        <v>177.2</v>
      </c>
      <c r="G99" s="1"/>
      <c r="H99" s="1">
        <v>0.81899999999999995</v>
      </c>
      <c r="J99" s="1"/>
    </row>
    <row r="100" spans="2:10" x14ac:dyDescent="0.45">
      <c r="B100" s="1" t="s">
        <v>55</v>
      </c>
      <c r="C100" s="1">
        <v>16.7</v>
      </c>
      <c r="E100" s="1">
        <v>179.1</v>
      </c>
      <c r="G100" s="1"/>
      <c r="H100" s="1">
        <v>0.81899999999999995</v>
      </c>
      <c r="J100" s="1"/>
    </row>
    <row r="101" spans="2:10" x14ac:dyDescent="0.45">
      <c r="B101" s="19" t="s">
        <v>56</v>
      </c>
      <c r="C101">
        <f>AVERAGE(C96:C100)</f>
        <v>16.662000000000003</v>
      </c>
      <c r="E101">
        <f>AVERAGE(E96:E100)</f>
        <v>177.40000000000003</v>
      </c>
      <c r="G101" t="e">
        <f>AVERAGE(G95:G100)</f>
        <v>#DIV/0!</v>
      </c>
      <c r="H101">
        <f>AVERAGE(H96:H100)</f>
        <v>0.81899999999999995</v>
      </c>
    </row>
    <row r="102" spans="2:10" x14ac:dyDescent="0.45">
      <c r="C102" s="2" t="s">
        <v>52</v>
      </c>
      <c r="D102">
        <f>C101*E101</f>
        <v>2955.8388000000009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69D9-1447-474D-BB58-8F7EE3B149E4}">
  <dimension ref="B2:K52"/>
  <sheetViews>
    <sheetView workbookViewId="0">
      <selection activeCell="D1" sqref="D1"/>
    </sheetView>
  </sheetViews>
  <sheetFormatPr defaultRowHeight="14.25" x14ac:dyDescent="0.45"/>
  <cols>
    <col min="4" max="4" width="14.53125" bestFit="1" customWidth="1"/>
    <col min="6" max="6" width="14.53125" bestFit="1" customWidth="1"/>
    <col min="7" max="7" width="9.53125" bestFit="1" customWidth="1"/>
    <col min="9" max="9" width="14.53125" bestFit="1" customWidth="1"/>
    <col min="11" max="11" width="14.53125" bestFit="1" customWidth="1"/>
  </cols>
  <sheetData>
    <row r="2" spans="2:11" ht="17.649999999999999" x14ac:dyDescent="0.45">
      <c r="B2" s="11" t="s">
        <v>39</v>
      </c>
    </row>
    <row r="3" spans="2:11" ht="28.9" thickBot="1" x14ac:dyDescent="0.5">
      <c r="B3" s="2" t="s">
        <v>1</v>
      </c>
      <c r="C3" s="2" t="s">
        <v>64</v>
      </c>
      <c r="D3" s="9">
        <f>_xlfn.STDEV.S(C4:C8)</f>
        <v>30.165346840372983</v>
      </c>
      <c r="E3" s="2" t="s">
        <v>65</v>
      </c>
      <c r="F3" s="9">
        <f>_xlfn.STDEV.S(E3:E9)</f>
        <v>0.32619012860600216</v>
      </c>
      <c r="G3" s="2" t="s">
        <v>60</v>
      </c>
      <c r="H3" s="2" t="s">
        <v>61</v>
      </c>
      <c r="I3" s="9">
        <f>_xlfn.STDEV.S(H4:H8)</f>
        <v>6.1054893333785968E-3</v>
      </c>
      <c r="J3" s="2" t="s">
        <v>5</v>
      </c>
      <c r="K3" s="9">
        <f>_xlfn.STDEV.S(J4:J8)</f>
        <v>1.5886629598502035E-2</v>
      </c>
    </row>
    <row r="4" spans="2:11" x14ac:dyDescent="0.45">
      <c r="B4" s="1" t="s">
        <v>6</v>
      </c>
      <c r="C4" s="1">
        <v>1467.08</v>
      </c>
      <c r="E4" s="1">
        <v>12.9</v>
      </c>
      <c r="G4" s="1">
        <f>C4*E4</f>
        <v>18925.331999999999</v>
      </c>
      <c r="H4" s="1">
        <v>0.47870000000000001</v>
      </c>
      <c r="J4" s="1">
        <v>1.4124000000000001</v>
      </c>
    </row>
    <row r="5" spans="2:11" x14ac:dyDescent="0.45">
      <c r="B5" s="1" t="s">
        <v>6</v>
      </c>
      <c r="C5" s="1">
        <v>1527.13</v>
      </c>
      <c r="E5" s="1">
        <v>12.1</v>
      </c>
      <c r="G5" s="1">
        <f t="shared" ref="G5:G8" si="0">C5*E5</f>
        <v>18478.273000000001</v>
      </c>
      <c r="H5" s="1">
        <v>0.46750000000000003</v>
      </c>
      <c r="J5" s="1">
        <v>1.4470000000000001</v>
      </c>
    </row>
    <row r="6" spans="2:11" x14ac:dyDescent="0.45">
      <c r="B6" s="1" t="s">
        <v>6</v>
      </c>
      <c r="C6" s="1">
        <v>1478.42</v>
      </c>
      <c r="E6" s="1">
        <v>12.8</v>
      </c>
      <c r="G6" s="1">
        <f t="shared" si="0"/>
        <v>18923.776000000002</v>
      </c>
      <c r="H6" s="1">
        <v>0.47660000000000002</v>
      </c>
      <c r="J6" s="1">
        <v>1.4214</v>
      </c>
    </row>
    <row r="7" spans="2:11" x14ac:dyDescent="0.45">
      <c r="B7" s="1" t="s">
        <v>6</v>
      </c>
      <c r="C7" s="1">
        <v>1527.77</v>
      </c>
      <c r="E7" s="1">
        <v>12.2</v>
      </c>
      <c r="G7" s="1">
        <f t="shared" si="0"/>
        <v>18638.793999999998</v>
      </c>
      <c r="H7" s="1">
        <v>0.48349999999999999</v>
      </c>
      <c r="J7" s="1">
        <v>1.4111</v>
      </c>
    </row>
    <row r="8" spans="2:11" x14ac:dyDescent="0.45">
      <c r="B8" s="1" t="s">
        <v>6</v>
      </c>
      <c r="C8" s="1">
        <v>1527.1</v>
      </c>
      <c r="E8" s="1">
        <v>12.3</v>
      </c>
      <c r="G8" s="1">
        <f t="shared" si="0"/>
        <v>18783.330000000002</v>
      </c>
      <c r="H8" s="1">
        <v>0.48080000000000001</v>
      </c>
      <c r="J8" s="1">
        <v>1.4080999999999999</v>
      </c>
    </row>
    <row r="9" spans="2:11" x14ac:dyDescent="0.45">
      <c r="B9" s="19" t="s">
        <v>56</v>
      </c>
      <c r="C9" s="14">
        <f>AVERAGE(C4:C8)</f>
        <v>1505.5</v>
      </c>
      <c r="D9" s="14"/>
      <c r="E9" s="14">
        <f>AVERAGE(E4:E8)</f>
        <v>12.459999999999999</v>
      </c>
      <c r="F9" s="14"/>
      <c r="G9" s="14">
        <f>AVERAGE(G4:G8)</f>
        <v>18749.900999999998</v>
      </c>
      <c r="H9" s="14">
        <f>AVERAGE(H4:H8)</f>
        <v>0.47742000000000007</v>
      </c>
      <c r="I9" s="14"/>
      <c r="J9" s="14">
        <f>AVERAGE(J4:J8)</f>
        <v>1.4200000000000002</v>
      </c>
    </row>
    <row r="10" spans="2:11" x14ac:dyDescent="0.45">
      <c r="C10" s="20" t="s">
        <v>52</v>
      </c>
      <c r="D10">
        <f>C9*E9</f>
        <v>18758.53</v>
      </c>
    </row>
    <row r="12" spans="2:11" ht="17.649999999999999" x14ac:dyDescent="0.45">
      <c r="B12" s="11" t="s">
        <v>40</v>
      </c>
      <c r="C12" s="3"/>
      <c r="D12" s="3"/>
      <c r="E12" s="3"/>
      <c r="F12" s="3"/>
      <c r="G12" s="3"/>
    </row>
    <row r="14" spans="2:11" ht="28.9" thickBot="1" x14ac:dyDescent="0.5">
      <c r="B14" s="2" t="s">
        <v>1</v>
      </c>
      <c r="C14" s="2" t="s">
        <v>64</v>
      </c>
      <c r="D14" s="9">
        <f>_xlfn.STDEV.S(C15:C19)</f>
        <v>8.7979560126202472</v>
      </c>
      <c r="E14" s="2" t="s">
        <v>65</v>
      </c>
      <c r="F14" s="9">
        <f>_xlfn.STDEV.S(E15:E19)</f>
        <v>0.22360679774997896</v>
      </c>
      <c r="G14" s="2" t="s">
        <v>60</v>
      </c>
      <c r="H14" s="2" t="s">
        <v>61</v>
      </c>
      <c r="I14" s="9"/>
      <c r="J14" s="2" t="s">
        <v>5</v>
      </c>
      <c r="K14" s="9">
        <f>_xlfn.STDEV.S(J15:J19)</f>
        <v>0.12332451094571584</v>
      </c>
    </row>
    <row r="15" spans="2:11" x14ac:dyDescent="0.45">
      <c r="B15" s="1" t="s">
        <v>6</v>
      </c>
      <c r="C15" s="1">
        <v>1262.77</v>
      </c>
      <c r="E15" s="1">
        <v>11.6</v>
      </c>
      <c r="G15" s="1">
        <f>C15*E15</f>
        <v>14648.132</v>
      </c>
      <c r="H15" s="1" t="s">
        <v>16</v>
      </c>
      <c r="J15" s="1">
        <v>3.6894999999999998</v>
      </c>
    </row>
    <row r="16" spans="2:11" x14ac:dyDescent="0.45">
      <c r="B16" s="1" t="s">
        <v>6</v>
      </c>
      <c r="C16" s="1">
        <v>1273.05</v>
      </c>
      <c r="E16" s="1">
        <v>11.3</v>
      </c>
      <c r="G16" s="1">
        <f t="shared" ref="G16:G19" si="1">C16*E16</f>
        <v>14385.465</v>
      </c>
      <c r="H16" s="1" t="s">
        <v>16</v>
      </c>
      <c r="J16" s="1">
        <v>3.6124000000000001</v>
      </c>
    </row>
    <row r="17" spans="2:11" x14ac:dyDescent="0.45">
      <c r="B17" s="1" t="s">
        <v>6</v>
      </c>
      <c r="C17" s="1">
        <v>1275.4000000000001</v>
      </c>
      <c r="E17" s="1">
        <v>11.4</v>
      </c>
      <c r="G17" s="1">
        <f t="shared" si="1"/>
        <v>14539.560000000001</v>
      </c>
      <c r="H17" s="1" t="s">
        <v>16</v>
      </c>
      <c r="J17" s="1">
        <v>3.5849000000000002</v>
      </c>
    </row>
    <row r="18" spans="2:11" x14ac:dyDescent="0.45">
      <c r="B18" s="1" t="s">
        <v>6</v>
      </c>
      <c r="C18" s="1">
        <v>1277.8800000000001</v>
      </c>
      <c r="E18" s="1">
        <v>11.2</v>
      </c>
      <c r="G18" s="1">
        <f t="shared" si="1"/>
        <v>14312.256000000001</v>
      </c>
      <c r="H18" s="1" t="s">
        <v>16</v>
      </c>
      <c r="J18" s="1">
        <v>3.8996</v>
      </c>
    </row>
    <row r="19" spans="2:11" x14ac:dyDescent="0.45">
      <c r="B19" s="1" t="s">
        <v>6</v>
      </c>
      <c r="C19" s="1">
        <v>1287.17</v>
      </c>
      <c r="E19" s="1">
        <v>11</v>
      </c>
      <c r="G19" s="1">
        <f t="shared" si="1"/>
        <v>14158.87</v>
      </c>
      <c r="H19" s="1" t="s">
        <v>16</v>
      </c>
      <c r="J19" s="1">
        <v>3.6930999999999998</v>
      </c>
    </row>
    <row r="20" spans="2:11" x14ac:dyDescent="0.45">
      <c r="B20" s="19" t="s">
        <v>56</v>
      </c>
      <c r="C20" s="14">
        <f>AVERAGE(C15:C19)</f>
        <v>1275.2540000000001</v>
      </c>
      <c r="E20" s="14">
        <f>AVERAGE(E15:E19)</f>
        <v>11.3</v>
      </c>
      <c r="G20" s="14">
        <f>AVERAGE(G15:G19)</f>
        <v>14408.856600000003</v>
      </c>
      <c r="J20" s="14">
        <f>AVERAGE(J15:J19)</f>
        <v>3.6959000000000004</v>
      </c>
    </row>
    <row r="21" spans="2:11" x14ac:dyDescent="0.45">
      <c r="C21" s="20" t="s">
        <v>52</v>
      </c>
      <c r="D21">
        <f>C20*E20</f>
        <v>14410.370200000003</v>
      </c>
    </row>
    <row r="22" spans="2:11" ht="17.649999999999999" x14ac:dyDescent="0.45">
      <c r="B22" s="11" t="s">
        <v>41</v>
      </c>
      <c r="C22" s="3"/>
      <c r="D22" s="3"/>
      <c r="E22" s="3"/>
      <c r="F22" s="3"/>
      <c r="G22" s="3"/>
    </row>
    <row r="23" spans="2:11" ht="28.9" thickBot="1" x14ac:dyDescent="0.5">
      <c r="B23" s="2" t="s">
        <v>1</v>
      </c>
      <c r="C23" s="2" t="s">
        <v>64</v>
      </c>
      <c r="D23" s="9">
        <f>_xlfn.STDEV.S(C24:C28)</f>
        <v>11.504047983210087</v>
      </c>
      <c r="E23" s="2" t="s">
        <v>65</v>
      </c>
      <c r="F23" s="9">
        <f>_xlfn.STDEV.S(E24:E28)</f>
        <v>0.21908902300206665</v>
      </c>
      <c r="G23" s="2" t="s">
        <v>60</v>
      </c>
      <c r="H23" s="2" t="s">
        <v>61</v>
      </c>
      <c r="I23" s="9"/>
      <c r="J23" s="2" t="s">
        <v>5</v>
      </c>
      <c r="K23" s="9">
        <f>_xlfn.STDEV.S(J24:J28)</f>
        <v>3.287290677746648E-2</v>
      </c>
    </row>
    <row r="24" spans="2:11" x14ac:dyDescent="0.45">
      <c r="B24" s="1" t="s">
        <v>6</v>
      </c>
      <c r="C24" s="1">
        <v>2966.54</v>
      </c>
      <c r="E24" s="1">
        <v>11.6</v>
      </c>
      <c r="G24" s="1">
        <f>C24*E24</f>
        <v>34411.864000000001</v>
      </c>
      <c r="H24" s="1" t="s">
        <v>16</v>
      </c>
      <c r="J24" s="1">
        <v>3.1726000000000001</v>
      </c>
    </row>
    <row r="25" spans="2:11" x14ac:dyDescent="0.45">
      <c r="B25" s="1" t="s">
        <v>6</v>
      </c>
      <c r="C25" s="1">
        <v>2966.86</v>
      </c>
      <c r="E25" s="1">
        <v>11.6</v>
      </c>
      <c r="G25" s="1">
        <f t="shared" ref="G25:G28" si="2">C25*E25</f>
        <v>34415.576000000001</v>
      </c>
      <c r="H25" s="1" t="s">
        <v>16</v>
      </c>
      <c r="J25" s="1">
        <v>3.2242000000000002</v>
      </c>
    </row>
    <row r="26" spans="2:11" x14ac:dyDescent="0.45">
      <c r="B26" s="1" t="s">
        <v>6</v>
      </c>
      <c r="C26" s="1">
        <v>2978.44</v>
      </c>
      <c r="E26" s="1">
        <v>11.2</v>
      </c>
      <c r="G26" s="1">
        <f t="shared" si="2"/>
        <v>33358.527999999998</v>
      </c>
      <c r="H26" s="1" t="s">
        <v>16</v>
      </c>
      <c r="J26" s="1">
        <v>3.1623000000000001</v>
      </c>
    </row>
    <row r="27" spans="2:11" x14ac:dyDescent="0.45">
      <c r="B27" s="1" t="s">
        <v>6</v>
      </c>
      <c r="C27" s="1">
        <v>2978.46</v>
      </c>
      <c r="E27" s="1">
        <v>11.2</v>
      </c>
      <c r="G27" s="1">
        <f t="shared" si="2"/>
        <v>33358.752</v>
      </c>
      <c r="H27" s="1" t="s">
        <v>16</v>
      </c>
      <c r="J27" s="1">
        <v>3.2029999999999998</v>
      </c>
    </row>
    <row r="28" spans="2:11" x14ac:dyDescent="0.45">
      <c r="B28" s="1" t="s">
        <v>6</v>
      </c>
      <c r="C28" s="1">
        <v>2950.46</v>
      </c>
      <c r="E28" s="1">
        <v>11.6</v>
      </c>
      <c r="G28" s="1">
        <f t="shared" si="2"/>
        <v>34225.336000000003</v>
      </c>
      <c r="H28" s="1" t="s">
        <v>16</v>
      </c>
      <c r="J28" s="1">
        <v>3.1415999999999999</v>
      </c>
    </row>
    <row r="29" spans="2:11" x14ac:dyDescent="0.45">
      <c r="B29" s="19" t="s">
        <v>56</v>
      </c>
      <c r="C29" s="14">
        <f>AVERAGE(C24:C28)</f>
        <v>2968.1519999999996</v>
      </c>
      <c r="E29" s="14">
        <f>AVERAGE(E24:E28)</f>
        <v>11.44</v>
      </c>
      <c r="F29">
        <f>C29*E29</f>
        <v>33955.658879999995</v>
      </c>
      <c r="G29" s="14">
        <f>AVERAGE(G24:G28)</f>
        <v>33954.011200000001</v>
      </c>
      <c r="J29" s="14">
        <f>AVERAGE(J24:J28)</f>
        <v>3.1807400000000001</v>
      </c>
    </row>
    <row r="30" spans="2:11" x14ac:dyDescent="0.45">
      <c r="C30" s="20" t="s">
        <v>52</v>
      </c>
      <c r="D30">
        <f>C29*E29</f>
        <v>33955.658879999995</v>
      </c>
    </row>
    <row r="31" spans="2:11" x14ac:dyDescent="0.45">
      <c r="B31" s="1"/>
      <c r="C31" s="1"/>
      <c r="E31" s="1"/>
      <c r="G31" s="1"/>
      <c r="H31" s="1"/>
      <c r="J31" s="1"/>
    </row>
    <row r="32" spans="2:11" x14ac:dyDescent="0.45">
      <c r="B32" s="2"/>
    </row>
    <row r="33" spans="2:11" ht="17.649999999999999" x14ac:dyDescent="0.45">
      <c r="B33" s="11" t="s">
        <v>43</v>
      </c>
      <c r="C33" s="3"/>
      <c r="D33" s="3"/>
      <c r="E33" s="3"/>
      <c r="F33" s="3"/>
      <c r="G33" s="3"/>
    </row>
    <row r="34" spans="2:11" ht="28.9" thickBot="1" x14ac:dyDescent="0.5">
      <c r="B34" s="2" t="s">
        <v>1</v>
      </c>
      <c r="C34" s="2" t="s">
        <v>64</v>
      </c>
      <c r="D34" s="9">
        <f>_xlfn.STDEV.S(C35:C39)</f>
        <v>19.034833857956301</v>
      </c>
      <c r="E34" s="2" t="s">
        <v>65</v>
      </c>
      <c r="F34" s="9">
        <f>_xlfn.STDEV.S(E35:E39)</f>
        <v>0.27018512172212611</v>
      </c>
      <c r="G34" s="2" t="s">
        <v>60</v>
      </c>
      <c r="H34" s="2" t="s">
        <v>61</v>
      </c>
      <c r="I34" s="9">
        <f>_xlfn.STDEV.S(H35:H39)</f>
        <v>1.9276488269391819E-2</v>
      </c>
      <c r="J34" s="2" t="s">
        <v>5</v>
      </c>
      <c r="K34" s="9">
        <f>_xlfn.STDEV.S(J35:J39)</f>
        <v>1.849540483471504E-2</v>
      </c>
    </row>
    <row r="35" spans="2:11" x14ac:dyDescent="0.45">
      <c r="B35" s="1" t="s">
        <v>6</v>
      </c>
      <c r="C35" s="1">
        <v>728.84</v>
      </c>
      <c r="E35" s="1">
        <v>10.8</v>
      </c>
      <c r="G35" s="1">
        <f>C35*E35</f>
        <v>7871.4720000000007</v>
      </c>
      <c r="H35" s="1">
        <v>0.27189999999999998</v>
      </c>
      <c r="J35" s="1">
        <v>1.5724</v>
      </c>
    </row>
    <row r="36" spans="2:11" x14ac:dyDescent="0.45">
      <c r="B36" s="1" t="s">
        <v>6</v>
      </c>
      <c r="C36" s="1">
        <v>724.02</v>
      </c>
      <c r="E36" s="1">
        <v>10.5</v>
      </c>
      <c r="G36" s="1">
        <f t="shared" ref="G36:G39" si="3">C36*E36</f>
        <v>7602.21</v>
      </c>
      <c r="H36" s="1">
        <v>0.32200000000000001</v>
      </c>
      <c r="J36" s="1">
        <v>1.5264</v>
      </c>
    </row>
    <row r="37" spans="2:11" x14ac:dyDescent="0.45">
      <c r="B37" s="1" t="s">
        <v>6</v>
      </c>
      <c r="C37" s="1">
        <v>734.86</v>
      </c>
      <c r="E37" s="1">
        <v>10.3</v>
      </c>
      <c r="G37" s="1">
        <f t="shared" si="3"/>
        <v>7569.0580000000009</v>
      </c>
      <c r="H37" s="1">
        <v>0.28410000000000002</v>
      </c>
      <c r="J37" s="1">
        <v>1.5628</v>
      </c>
    </row>
    <row r="38" spans="2:11" x14ac:dyDescent="0.45">
      <c r="B38" s="1" t="s">
        <v>6</v>
      </c>
      <c r="C38" s="1">
        <v>772.16</v>
      </c>
      <c r="E38" s="1">
        <v>10.1</v>
      </c>
      <c r="G38" s="1">
        <f t="shared" si="3"/>
        <v>7798.8159999999998</v>
      </c>
      <c r="H38" s="1">
        <v>0.2833</v>
      </c>
      <c r="J38" s="1">
        <v>1.5669999999999999</v>
      </c>
    </row>
    <row r="39" spans="2:11" x14ac:dyDescent="0.45">
      <c r="B39" s="1" t="s">
        <v>6</v>
      </c>
      <c r="C39" s="1">
        <v>736.67</v>
      </c>
      <c r="E39" s="1">
        <v>10.6</v>
      </c>
      <c r="G39" s="1">
        <f t="shared" si="3"/>
        <v>7808.7019999999993</v>
      </c>
      <c r="H39" s="1">
        <v>0.28199999999999997</v>
      </c>
      <c r="J39" s="1">
        <v>1.5659000000000001</v>
      </c>
    </row>
    <row r="40" spans="2:11" x14ac:dyDescent="0.45">
      <c r="B40" s="19" t="s">
        <v>56</v>
      </c>
      <c r="C40" s="14">
        <f>AVERAGE(C35:C39)</f>
        <v>739.31000000000006</v>
      </c>
      <c r="E40" s="14">
        <f>AVERAGE(E35:E39)</f>
        <v>10.46</v>
      </c>
      <c r="G40" s="14">
        <f>AVERAGE(G35:G39)</f>
        <v>7730.0516000000007</v>
      </c>
      <c r="H40" s="14">
        <f>AVERAGE(H35:H39)</f>
        <v>0.28866000000000003</v>
      </c>
      <c r="J40" s="14">
        <f>AVERAGE(J35:J39)</f>
        <v>1.5589</v>
      </c>
    </row>
    <row r="41" spans="2:11" x14ac:dyDescent="0.45">
      <c r="C41" s="20" t="s">
        <v>52</v>
      </c>
      <c r="D41">
        <f>C40*E40</f>
        <v>7733.182600000001</v>
      </c>
    </row>
    <row r="42" spans="2:11" x14ac:dyDescent="0.45">
      <c r="B42" s="2"/>
    </row>
    <row r="44" spans="2:11" ht="17.649999999999999" x14ac:dyDescent="0.45">
      <c r="B44" s="11" t="s">
        <v>42</v>
      </c>
      <c r="C44" s="3"/>
      <c r="D44" s="3"/>
      <c r="E44" s="3"/>
      <c r="F44" s="3"/>
      <c r="G44" s="3"/>
    </row>
    <row r="45" spans="2:11" ht="28.9" thickBot="1" x14ac:dyDescent="0.5">
      <c r="B45" s="2" t="s">
        <v>1</v>
      </c>
      <c r="C45" s="2" t="s">
        <v>64</v>
      </c>
      <c r="D45" s="9">
        <f>_xlfn.STDEV.S(C46:C50)</f>
        <v>4.4748463660778803</v>
      </c>
      <c r="E45" s="2" t="s">
        <v>65</v>
      </c>
      <c r="F45" s="10">
        <f>_xlfn.STDEV.S(E46:E50)</f>
        <v>0.14142135623730995</v>
      </c>
      <c r="G45" s="2" t="s">
        <v>60</v>
      </c>
      <c r="H45" s="2" t="s">
        <v>61</v>
      </c>
      <c r="I45" s="9">
        <f>_xlfn.STDEV.S(H46:H50)</f>
        <v>1.2412670766236366E-16</v>
      </c>
      <c r="J45" s="2" t="s">
        <v>5</v>
      </c>
    </row>
    <row r="46" spans="2:11" ht="15.75" x14ac:dyDescent="0.45">
      <c r="B46" s="1" t="s">
        <v>6</v>
      </c>
      <c r="C46" s="1">
        <v>1436.94</v>
      </c>
      <c r="E46" s="1">
        <v>10.7</v>
      </c>
      <c r="F46" s="13"/>
      <c r="G46" s="1">
        <f>C46*E46</f>
        <v>15375.258</v>
      </c>
      <c r="H46" s="1">
        <v>0.81499999999999995</v>
      </c>
      <c r="J46" s="1" t="s">
        <v>16</v>
      </c>
    </row>
    <row r="47" spans="2:11" x14ac:dyDescent="0.45">
      <c r="B47" s="1" t="s">
        <v>6</v>
      </c>
      <c r="C47" s="1">
        <v>1428.23</v>
      </c>
      <c r="E47" s="1">
        <v>10.9</v>
      </c>
      <c r="G47" s="1">
        <f t="shared" ref="G47:G50" si="4">C47*E47</f>
        <v>15567.707</v>
      </c>
      <c r="H47" s="1">
        <v>0.81499999999999995</v>
      </c>
      <c r="J47" s="1" t="s">
        <v>16</v>
      </c>
    </row>
    <row r="48" spans="2:11" x14ac:dyDescent="0.45">
      <c r="B48" s="1" t="s">
        <v>6</v>
      </c>
      <c r="C48" s="1">
        <v>1424.87</v>
      </c>
      <c r="E48" s="1">
        <v>10.9</v>
      </c>
      <c r="G48" s="1">
        <f t="shared" si="4"/>
        <v>15531.082999999999</v>
      </c>
      <c r="H48" s="1">
        <v>0.81499999999999995</v>
      </c>
      <c r="J48" s="1" t="s">
        <v>16</v>
      </c>
    </row>
    <row r="49" spans="2:10" x14ac:dyDescent="0.45">
      <c r="B49" s="1" t="s">
        <v>6</v>
      </c>
      <c r="C49" s="1">
        <v>1429.41</v>
      </c>
      <c r="E49" s="1">
        <v>10.6</v>
      </c>
      <c r="G49" s="1">
        <f t="shared" si="4"/>
        <v>15151.746000000001</v>
      </c>
      <c r="H49" s="1">
        <v>0.81499999999999995</v>
      </c>
      <c r="J49" s="1" t="s">
        <v>16</v>
      </c>
    </row>
    <row r="50" spans="2:10" x14ac:dyDescent="0.45">
      <c r="B50" s="1" t="s">
        <v>6</v>
      </c>
      <c r="C50" s="1">
        <v>1428.2</v>
      </c>
      <c r="E50" s="1">
        <v>10.9</v>
      </c>
      <c r="G50" s="1">
        <f t="shared" si="4"/>
        <v>15567.380000000001</v>
      </c>
      <c r="H50" s="1">
        <v>0.81499999999999995</v>
      </c>
      <c r="J50" s="1" t="s">
        <v>16</v>
      </c>
    </row>
    <row r="51" spans="2:10" x14ac:dyDescent="0.45">
      <c r="B51" s="19" t="s">
        <v>56</v>
      </c>
      <c r="C51" s="14">
        <f>AVERAGE(C46:C50)</f>
        <v>1429.53</v>
      </c>
      <c r="E51" s="14">
        <f>AVERAGE(E46:E50)</f>
        <v>10.8</v>
      </c>
      <c r="G51" s="14">
        <f>AVERAGE(G46:G50)</f>
        <v>15438.6348</v>
      </c>
      <c r="H51" s="14">
        <f>AVERAGE(H46:H50)</f>
        <v>0.81499999999999984</v>
      </c>
    </row>
    <row r="52" spans="2:10" x14ac:dyDescent="0.45">
      <c r="C52" s="20" t="s">
        <v>52</v>
      </c>
      <c r="D52">
        <f>C51*E51</f>
        <v>15438.924000000001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EF62-1982-4941-9E82-9600433DA752}">
  <dimension ref="B2:K86"/>
  <sheetViews>
    <sheetView tabSelected="1" workbookViewId="0">
      <selection activeCell="C10" sqref="C10"/>
    </sheetView>
  </sheetViews>
  <sheetFormatPr defaultRowHeight="14.25" x14ac:dyDescent="0.45"/>
  <cols>
    <col min="4" max="4" width="14.53125" bestFit="1" customWidth="1"/>
    <col min="6" max="6" width="14.53125" bestFit="1" customWidth="1"/>
    <col min="7" max="7" width="9.53125" bestFit="1" customWidth="1"/>
    <col min="9" max="9" width="14.53125" bestFit="1" customWidth="1"/>
    <col min="11" max="11" width="14.53125" bestFit="1" customWidth="1"/>
  </cols>
  <sheetData>
    <row r="2" spans="2:11" ht="17.649999999999999" x14ac:dyDescent="0.45">
      <c r="B2" s="11" t="s">
        <v>39</v>
      </c>
      <c r="D2" s="20" t="s">
        <v>66</v>
      </c>
      <c r="E2" s="20"/>
      <c r="F2" s="20"/>
      <c r="G2" s="20"/>
      <c r="H2" s="20"/>
      <c r="I2" s="20" t="s">
        <v>66</v>
      </c>
      <c r="J2" s="20"/>
      <c r="K2" s="20" t="s">
        <v>66</v>
      </c>
    </row>
    <row r="3" spans="2:11" ht="28.9" thickBot="1" x14ac:dyDescent="0.5">
      <c r="B3" s="2" t="s">
        <v>1</v>
      </c>
      <c r="C3" s="2" t="s">
        <v>58</v>
      </c>
      <c r="D3" s="9">
        <f>_xlfn.STDEV.S(C4:C8)</f>
        <v>28.010091574287998</v>
      </c>
      <c r="E3" s="2" t="s">
        <v>59</v>
      </c>
      <c r="F3" s="9"/>
      <c r="G3" s="2" t="s">
        <v>60</v>
      </c>
      <c r="H3" s="2" t="s">
        <v>61</v>
      </c>
      <c r="I3" s="9">
        <f>_xlfn.STDEV.S(H4:H8)</f>
        <v>5.8049117133682528E-3</v>
      </c>
      <c r="J3" s="2" t="s">
        <v>5</v>
      </c>
      <c r="K3" s="9">
        <f>_xlfn.STDEV.S(J4:J8)</f>
        <v>1.3252433738751542E-2</v>
      </c>
    </row>
    <row r="4" spans="2:11" x14ac:dyDescent="0.45">
      <c r="B4" s="1" t="s">
        <v>6</v>
      </c>
      <c r="C4" s="1">
        <v>1468.06</v>
      </c>
      <c r="E4" s="1" t="s">
        <v>16</v>
      </c>
      <c r="G4" s="1"/>
      <c r="H4" s="1">
        <v>0.47549999999999998</v>
      </c>
      <c r="J4">
        <v>1.4217</v>
      </c>
    </row>
    <row r="5" spans="2:11" x14ac:dyDescent="0.45">
      <c r="B5" s="1" t="s">
        <v>6</v>
      </c>
      <c r="C5" s="1">
        <v>1407.08</v>
      </c>
      <c r="E5" s="1" t="s">
        <v>16</v>
      </c>
      <c r="G5" s="1"/>
      <c r="H5" s="1">
        <v>0.4733</v>
      </c>
      <c r="J5">
        <v>1.4285000000000001</v>
      </c>
    </row>
    <row r="6" spans="2:11" x14ac:dyDescent="0.45">
      <c r="B6" s="1" t="s">
        <v>6</v>
      </c>
      <c r="C6" s="1">
        <v>1407.05</v>
      </c>
      <c r="E6" s="1" t="s">
        <v>16</v>
      </c>
      <c r="G6" s="1"/>
      <c r="H6" s="1">
        <v>0.47020000000000001</v>
      </c>
      <c r="J6">
        <v>1.4338</v>
      </c>
    </row>
    <row r="7" spans="2:11" x14ac:dyDescent="0.45">
      <c r="B7" s="1" t="s">
        <v>6</v>
      </c>
      <c r="C7" s="1">
        <v>1407.64</v>
      </c>
      <c r="E7" s="1" t="s">
        <v>16</v>
      </c>
      <c r="G7" s="1"/>
      <c r="H7" s="1">
        <v>0.4839</v>
      </c>
      <c r="J7">
        <v>1.4036</v>
      </c>
    </row>
    <row r="8" spans="2:11" x14ac:dyDescent="0.45">
      <c r="B8" s="1" t="s">
        <v>6</v>
      </c>
      <c r="C8" s="1">
        <v>1401.09</v>
      </c>
      <c r="E8" s="1" t="s">
        <v>16</v>
      </c>
      <c r="G8" s="1"/>
      <c r="H8" s="1">
        <v>0.48199999999999998</v>
      </c>
      <c r="J8">
        <v>1.4068000000000001</v>
      </c>
    </row>
    <row r="9" spans="2:11" x14ac:dyDescent="0.45">
      <c r="B9" s="19" t="s">
        <v>56</v>
      </c>
      <c r="C9" s="14">
        <f>AVERAGE(C4:C8)</f>
        <v>1418.184</v>
      </c>
      <c r="D9" s="14"/>
      <c r="E9" s="14" t="e">
        <f>AVERAGE(E4:E8)</f>
        <v>#DIV/0!</v>
      </c>
      <c r="F9" s="14"/>
      <c r="G9" s="14" t="e">
        <f>AVERAGE(G4:G8)</f>
        <v>#DIV/0!</v>
      </c>
      <c r="H9" s="14">
        <f>AVERAGE(H4:H8)</f>
        <v>0.47698000000000002</v>
      </c>
      <c r="I9" s="14"/>
      <c r="J9" s="14">
        <f>AVERAGE(J4:J8)</f>
        <v>1.4188800000000001</v>
      </c>
    </row>
    <row r="10" spans="2:11" x14ac:dyDescent="0.45">
      <c r="C10" s="20"/>
    </row>
    <row r="11" spans="2:11" ht="28.9" thickBot="1" x14ac:dyDescent="0.5">
      <c r="B11" s="2" t="s">
        <v>1</v>
      </c>
      <c r="C11" s="2" t="s">
        <v>58</v>
      </c>
      <c r="D11" s="9">
        <f>_xlfn.STDEV.S(C12:C16)</f>
        <v>21.129065762593473</v>
      </c>
      <c r="E11" s="2" t="s">
        <v>59</v>
      </c>
      <c r="F11" s="9"/>
      <c r="G11" s="2" t="s">
        <v>60</v>
      </c>
      <c r="H11" s="2" t="s">
        <v>61</v>
      </c>
      <c r="I11" s="9">
        <f>_xlfn.STDEV.S(H12:H16)</f>
        <v>4.2079686310617891E-3</v>
      </c>
      <c r="J11" s="2" t="s">
        <v>5</v>
      </c>
      <c r="K11" s="9">
        <f>_xlfn.STDEV.S(J12:J16)</f>
        <v>9.0018331466429815E-3</v>
      </c>
    </row>
    <row r="12" spans="2:11" x14ac:dyDescent="0.45">
      <c r="B12" s="1" t="s">
        <v>8</v>
      </c>
      <c r="C12" s="1">
        <v>88.34</v>
      </c>
      <c r="E12" s="1" t="s">
        <v>16</v>
      </c>
      <c r="G12" s="1"/>
      <c r="H12" s="1">
        <v>0.47270000000000001</v>
      </c>
      <c r="J12">
        <v>1.4330000000000001</v>
      </c>
    </row>
    <row r="13" spans="2:11" x14ac:dyDescent="0.45">
      <c r="B13" s="1" t="s">
        <v>8</v>
      </c>
      <c r="C13" s="1">
        <v>46.95</v>
      </c>
      <c r="E13" s="1" t="s">
        <v>16</v>
      </c>
      <c r="G13" s="1"/>
      <c r="H13" s="1">
        <v>0.47889999999999999</v>
      </c>
      <c r="J13">
        <v>1.4162999999999999</v>
      </c>
    </row>
    <row r="14" spans="2:11" x14ac:dyDescent="0.45">
      <c r="B14" s="1" t="s">
        <v>8</v>
      </c>
      <c r="C14" s="1">
        <v>31.9</v>
      </c>
      <c r="E14" s="1" t="s">
        <v>16</v>
      </c>
      <c r="G14" s="1"/>
      <c r="H14" s="1">
        <v>0.48049999999999998</v>
      </c>
      <c r="J14">
        <v>1.4105000000000001</v>
      </c>
    </row>
    <row r="15" spans="2:11" x14ac:dyDescent="0.45">
      <c r="B15" s="1" t="s">
        <v>8</v>
      </c>
      <c r="C15" s="1">
        <v>47.74</v>
      </c>
      <c r="E15" s="1" t="s">
        <v>16</v>
      </c>
      <c r="G15" s="1"/>
      <c r="H15" s="1">
        <v>0.48420000000000002</v>
      </c>
      <c r="J15">
        <v>1.4117</v>
      </c>
    </row>
    <row r="16" spans="2:11" x14ac:dyDescent="0.45">
      <c r="B16" s="1" t="s">
        <v>8</v>
      </c>
      <c r="C16" s="1">
        <v>47.66</v>
      </c>
      <c r="E16" s="1" t="s">
        <v>16</v>
      </c>
      <c r="G16" s="1"/>
      <c r="H16" s="1">
        <v>0.48060000000000003</v>
      </c>
      <c r="J16">
        <v>1.4172</v>
      </c>
    </row>
    <row r="17" spans="2:11" x14ac:dyDescent="0.45">
      <c r="B17" s="19" t="s">
        <v>56</v>
      </c>
      <c r="C17" s="14">
        <f>AVERAGE(C12:C16)</f>
        <v>52.518000000000008</v>
      </c>
      <c r="D17" s="14"/>
      <c r="E17" s="14" t="e">
        <f>AVERAGE(E12:E16)</f>
        <v>#DIV/0!</v>
      </c>
      <c r="F17" s="14"/>
      <c r="G17" s="14" t="e">
        <f>AVERAGE(G12:G16)</f>
        <v>#DIV/0!</v>
      </c>
      <c r="H17" s="14">
        <f>AVERAGE(H12:H16)</f>
        <v>0.47938000000000003</v>
      </c>
      <c r="I17" s="14"/>
      <c r="J17" s="14">
        <f>AVERAGE(J12:J16)</f>
        <v>1.41774</v>
      </c>
    </row>
    <row r="19" spans="2:11" ht="17.649999999999999" x14ac:dyDescent="0.45">
      <c r="B19" s="11" t="s">
        <v>40</v>
      </c>
      <c r="C19" s="3"/>
      <c r="D19" s="3"/>
      <c r="E19" s="3"/>
      <c r="F19" s="3"/>
      <c r="G19" s="3"/>
    </row>
    <row r="21" spans="2:11" ht="28.9" thickBot="1" x14ac:dyDescent="0.5">
      <c r="B21" s="2" t="s">
        <v>1</v>
      </c>
      <c r="C21" s="2" t="s">
        <v>58</v>
      </c>
      <c r="D21" s="9">
        <f>_xlfn.STDEV.S(C22:C26)</f>
        <v>37.348766378556597</v>
      </c>
      <c r="E21" s="2" t="s">
        <v>59</v>
      </c>
      <c r="F21" s="9"/>
      <c r="G21" s="2" t="s">
        <v>60</v>
      </c>
      <c r="H21" s="2" t="s">
        <v>61</v>
      </c>
      <c r="I21" s="9"/>
      <c r="J21" s="2" t="s">
        <v>5</v>
      </c>
      <c r="K21" s="9">
        <f>_xlfn.STDEV.S(J22:J26)</f>
        <v>0.12895436014342443</v>
      </c>
    </row>
    <row r="22" spans="2:11" x14ac:dyDescent="0.45">
      <c r="B22" s="1" t="s">
        <v>6</v>
      </c>
      <c r="C22" s="1">
        <v>1592.66</v>
      </c>
      <c r="E22" s="1" t="s">
        <v>16</v>
      </c>
      <c r="G22" s="1" t="s">
        <v>16</v>
      </c>
      <c r="H22" s="1" t="s">
        <v>16</v>
      </c>
      <c r="J22" s="1">
        <v>3.6890999999999998</v>
      </c>
    </row>
    <row r="23" spans="2:11" x14ac:dyDescent="0.45">
      <c r="B23" s="1" t="s">
        <v>6</v>
      </c>
      <c r="C23" s="1">
        <v>1576.51</v>
      </c>
      <c r="E23" s="1" t="s">
        <v>16</v>
      </c>
      <c r="G23" s="1" t="s">
        <v>16</v>
      </c>
      <c r="H23" s="1" t="s">
        <v>16</v>
      </c>
      <c r="J23" s="1">
        <v>3.6120000000000001</v>
      </c>
    </row>
    <row r="24" spans="2:11" x14ac:dyDescent="0.45">
      <c r="B24" s="1" t="s">
        <v>6</v>
      </c>
      <c r="C24" s="1">
        <v>1646.08</v>
      </c>
      <c r="E24" s="1" t="s">
        <v>16</v>
      </c>
      <c r="G24" s="1" t="s">
        <v>16</v>
      </c>
      <c r="H24" s="1" t="s">
        <v>16</v>
      </c>
      <c r="J24" s="1">
        <v>3.5834999999999999</v>
      </c>
    </row>
    <row r="25" spans="2:11" x14ac:dyDescent="0.45">
      <c r="B25" s="1" t="s">
        <v>6</v>
      </c>
      <c r="C25" s="1">
        <v>1621.92</v>
      </c>
      <c r="E25" s="1" t="s">
        <v>16</v>
      </c>
      <c r="G25" s="1" t="s">
        <v>16</v>
      </c>
      <c r="H25" s="1" t="s">
        <v>16</v>
      </c>
      <c r="J25" s="1">
        <v>3.9123000000000001</v>
      </c>
    </row>
    <row r="26" spans="2:11" x14ac:dyDescent="0.45">
      <c r="B26" s="1" t="s">
        <v>6</v>
      </c>
      <c r="C26" s="1">
        <v>1551.03</v>
      </c>
      <c r="E26" s="1" t="s">
        <v>16</v>
      </c>
      <c r="G26" s="1" t="s">
        <v>16</v>
      </c>
      <c r="H26" s="1" t="s">
        <v>16</v>
      </c>
      <c r="J26" s="1">
        <v>3.6951999999999998</v>
      </c>
    </row>
    <row r="27" spans="2:11" x14ac:dyDescent="0.45">
      <c r="B27" s="19" t="s">
        <v>56</v>
      </c>
      <c r="C27" s="14">
        <f>AVERAGE(C22:C26)</f>
        <v>1597.6399999999999</v>
      </c>
      <c r="E27" s="14" t="e">
        <f>AVERAGE(E22:E26)</f>
        <v>#DIV/0!</v>
      </c>
      <c r="G27" s="14" t="e">
        <f>AVERAGE(G22:G26)</f>
        <v>#DIV/0!</v>
      </c>
      <c r="J27" s="14">
        <f>AVERAGE(J22:J26)</f>
        <v>3.69842</v>
      </c>
    </row>
    <row r="29" spans="2:11" ht="28.9" thickBot="1" x14ac:dyDescent="0.5">
      <c r="B29" s="2" t="s">
        <v>1</v>
      </c>
      <c r="C29" s="2" t="s">
        <v>58</v>
      </c>
      <c r="D29" s="9">
        <f>_xlfn.STDEV.S(C30:C34)</f>
        <v>0.7042868733690828</v>
      </c>
      <c r="E29" s="2" t="s">
        <v>59</v>
      </c>
      <c r="F29" s="9"/>
      <c r="G29" s="2" t="s">
        <v>60</v>
      </c>
      <c r="H29" s="2" t="s">
        <v>61</v>
      </c>
      <c r="I29" s="9"/>
      <c r="J29" s="2" t="s">
        <v>5</v>
      </c>
      <c r="K29" s="9">
        <f>_xlfn.STDEV.S(J30:J34)</f>
        <v>4.7995176841011865E-2</v>
      </c>
    </row>
    <row r="30" spans="2:11" x14ac:dyDescent="0.45">
      <c r="B30" s="1" t="s">
        <v>8</v>
      </c>
      <c r="C30" s="1">
        <v>38.299999999999997</v>
      </c>
      <c r="E30" s="1" t="s">
        <v>16</v>
      </c>
      <c r="G30" s="1" t="s">
        <v>16</v>
      </c>
      <c r="H30" s="1" t="s">
        <v>16</v>
      </c>
      <c r="J30" s="1">
        <v>3.6634000000000002</v>
      </c>
    </row>
    <row r="31" spans="2:11" x14ac:dyDescent="0.45">
      <c r="B31" s="1" t="s">
        <v>8</v>
      </c>
      <c r="C31" s="1">
        <v>36.54</v>
      </c>
      <c r="E31" s="1" t="s">
        <v>16</v>
      </c>
      <c r="G31" s="1" t="s">
        <v>16</v>
      </c>
      <c r="H31" s="1" t="s">
        <v>16</v>
      </c>
      <c r="J31" s="1">
        <v>3.6867000000000001</v>
      </c>
    </row>
    <row r="32" spans="2:11" x14ac:dyDescent="0.45">
      <c r="B32" s="1" t="s">
        <v>8</v>
      </c>
      <c r="C32" s="1">
        <v>36.68</v>
      </c>
      <c r="E32" s="1" t="s">
        <v>16</v>
      </c>
      <c r="G32" s="1" t="s">
        <v>16</v>
      </c>
      <c r="H32" s="1" t="s">
        <v>16</v>
      </c>
      <c r="J32" s="1">
        <v>3.6293000000000002</v>
      </c>
    </row>
    <row r="33" spans="2:11" x14ac:dyDescent="0.45">
      <c r="B33" s="1" t="s">
        <v>8</v>
      </c>
      <c r="C33" s="1">
        <v>36.950000000000003</v>
      </c>
      <c r="E33" s="1" t="s">
        <v>16</v>
      </c>
      <c r="G33" s="1" t="s">
        <v>16</v>
      </c>
      <c r="H33" s="1" t="s">
        <v>16</v>
      </c>
      <c r="J33" s="1">
        <v>3.6394000000000002</v>
      </c>
    </row>
    <row r="34" spans="2:11" x14ac:dyDescent="0.45">
      <c r="B34" s="1" t="s">
        <v>8</v>
      </c>
      <c r="C34" s="1">
        <v>37.32</v>
      </c>
      <c r="E34" s="1" t="s">
        <v>16</v>
      </c>
      <c r="G34" s="1" t="s">
        <v>16</v>
      </c>
      <c r="H34" s="1" t="s">
        <v>16</v>
      </c>
      <c r="J34" s="1">
        <v>3.5596000000000001</v>
      </c>
    </row>
    <row r="35" spans="2:11" x14ac:dyDescent="0.45">
      <c r="B35" s="19" t="s">
        <v>56</v>
      </c>
      <c r="C35" s="14">
        <f>AVERAGE(C30:C34)</f>
        <v>37.158000000000001</v>
      </c>
      <c r="E35" s="14" t="e">
        <f>AVERAGE(E30:E34)</f>
        <v>#DIV/0!</v>
      </c>
      <c r="G35" s="14" t="e">
        <f>AVERAGE(G30:G34)</f>
        <v>#DIV/0!</v>
      </c>
      <c r="J35" s="14">
        <f>AVERAGE(J30:J34)</f>
        <v>3.6356799999999998</v>
      </c>
    </row>
    <row r="37" spans="2:11" ht="17.649999999999999" x14ac:dyDescent="0.45">
      <c r="B37" s="11" t="s">
        <v>41</v>
      </c>
      <c r="C37" s="3"/>
      <c r="D37" s="3"/>
      <c r="E37" s="3"/>
      <c r="F37" s="3"/>
      <c r="G37" s="3"/>
    </row>
    <row r="38" spans="2:11" ht="28.9" thickBot="1" x14ac:dyDescent="0.5">
      <c r="B38" s="2" t="s">
        <v>1</v>
      </c>
      <c r="C38" s="2" t="s">
        <v>58</v>
      </c>
      <c r="D38" s="9">
        <f>_xlfn.STDEV.S(C39:C43)</f>
        <v>0.93900479232004175</v>
      </c>
      <c r="E38" s="2" t="s">
        <v>59</v>
      </c>
      <c r="F38" s="9"/>
      <c r="G38" s="2" t="s">
        <v>60</v>
      </c>
      <c r="H38" s="2" t="s">
        <v>61</v>
      </c>
      <c r="I38" s="9"/>
      <c r="J38" s="2" t="s">
        <v>5</v>
      </c>
      <c r="K38" s="9">
        <f>_xlfn.STDEV.S(J39:J43)</f>
        <v>3.2858910511457985E-2</v>
      </c>
    </row>
    <row r="39" spans="2:11" x14ac:dyDescent="0.45">
      <c r="B39" s="1" t="s">
        <v>6</v>
      </c>
      <c r="C39" s="1">
        <v>77.680000000000007</v>
      </c>
      <c r="E39" s="1" t="s">
        <v>16</v>
      </c>
      <c r="G39" s="1" t="s">
        <v>16</v>
      </c>
      <c r="H39" s="1" t="s">
        <v>16</v>
      </c>
      <c r="J39" s="1">
        <v>3.1726000000000001</v>
      </c>
    </row>
    <row r="40" spans="2:11" x14ac:dyDescent="0.45">
      <c r="B40" s="1" t="s">
        <v>6</v>
      </c>
      <c r="C40" s="1">
        <v>76.45</v>
      </c>
      <c r="E40" s="1" t="s">
        <v>16</v>
      </c>
      <c r="G40" s="1" t="s">
        <v>16</v>
      </c>
      <c r="H40" s="1" t="s">
        <v>16</v>
      </c>
      <c r="J40" s="1">
        <v>3.2242000000000002</v>
      </c>
    </row>
    <row r="41" spans="2:11" x14ac:dyDescent="0.45">
      <c r="B41" s="1" t="s">
        <v>6</v>
      </c>
      <c r="C41" s="1">
        <v>75.39</v>
      </c>
      <c r="E41" s="1" t="s">
        <v>16</v>
      </c>
      <c r="G41" s="1" t="s">
        <v>16</v>
      </c>
      <c r="H41" s="1" t="s">
        <v>16</v>
      </c>
      <c r="J41" s="1">
        <v>3.1623999999999999</v>
      </c>
    </row>
    <row r="42" spans="2:11" x14ac:dyDescent="0.45">
      <c r="B42" s="1" t="s">
        <v>6</v>
      </c>
      <c r="C42" s="1">
        <v>77.22</v>
      </c>
      <c r="E42" s="1" t="s">
        <v>16</v>
      </c>
      <c r="G42" s="1" t="s">
        <v>16</v>
      </c>
      <c r="H42" s="1" t="s">
        <v>16</v>
      </c>
      <c r="J42" s="1">
        <v>3.2029999999999998</v>
      </c>
    </row>
    <row r="43" spans="2:11" x14ac:dyDescent="0.45">
      <c r="B43" s="1" t="s">
        <v>6</v>
      </c>
      <c r="C43" s="1">
        <v>75.88</v>
      </c>
      <c r="E43" s="1" t="s">
        <v>16</v>
      </c>
      <c r="G43" s="1" t="s">
        <v>16</v>
      </c>
      <c r="H43" s="1" t="s">
        <v>16</v>
      </c>
      <c r="J43" s="1">
        <v>3.1415999999999999</v>
      </c>
    </row>
    <row r="44" spans="2:11" x14ac:dyDescent="0.45">
      <c r="B44" s="19" t="s">
        <v>56</v>
      </c>
      <c r="C44" s="14">
        <f>AVERAGE(C39:C43)</f>
        <v>76.524000000000001</v>
      </c>
      <c r="E44" s="14" t="e">
        <f>AVERAGE(E39:E43)</f>
        <v>#DIV/0!</v>
      </c>
      <c r="G44" s="14" t="e">
        <f>AVERAGE(G39:G43)</f>
        <v>#DIV/0!</v>
      </c>
      <c r="J44" s="14">
        <f>AVERAGE(J39:J43)</f>
        <v>3.1807600000000003</v>
      </c>
    </row>
    <row r="46" spans="2:11" ht="16.149999999999999" thickBot="1" x14ac:dyDescent="0.5">
      <c r="B46" s="1" t="s">
        <v>8</v>
      </c>
      <c r="C46" s="1">
        <v>35.54</v>
      </c>
      <c r="D46" s="9">
        <f>_xlfn.STDEV.S(C46:C50)</f>
        <v>0.63765194267719472</v>
      </c>
      <c r="E46" s="1" t="s">
        <v>16</v>
      </c>
      <c r="G46" s="1" t="s">
        <v>16</v>
      </c>
      <c r="H46" s="1" t="s">
        <v>16</v>
      </c>
      <c r="J46" s="1">
        <v>3.1932999999999998</v>
      </c>
      <c r="K46" s="9">
        <f>_xlfn.STDEV.S(J46:J50)</f>
        <v>1.5364179118976739E-2</v>
      </c>
    </row>
    <row r="47" spans="2:11" x14ac:dyDescent="0.45">
      <c r="B47" s="1" t="s">
        <v>8</v>
      </c>
      <c r="C47" s="1">
        <v>34.200000000000003</v>
      </c>
      <c r="E47" s="1" t="s">
        <v>16</v>
      </c>
      <c r="G47" s="1" t="s">
        <v>16</v>
      </c>
      <c r="H47" s="1" t="s">
        <v>16</v>
      </c>
      <c r="J47" s="1">
        <v>3.1962999999999999</v>
      </c>
    </row>
    <row r="48" spans="2:11" x14ac:dyDescent="0.45">
      <c r="B48" s="1" t="s">
        <v>8</v>
      </c>
      <c r="C48" s="1">
        <v>34.08</v>
      </c>
      <c r="E48" s="1" t="s">
        <v>16</v>
      </c>
      <c r="G48" s="1" t="s">
        <v>16</v>
      </c>
      <c r="H48" s="1" t="s">
        <v>16</v>
      </c>
      <c r="J48" s="1">
        <v>3.1827000000000001</v>
      </c>
    </row>
    <row r="49" spans="2:11" x14ac:dyDescent="0.45">
      <c r="B49" s="1" t="s">
        <v>8</v>
      </c>
      <c r="C49" s="1">
        <v>33.979999999999997</v>
      </c>
      <c r="E49" s="1" t="s">
        <v>16</v>
      </c>
      <c r="G49" s="1" t="s">
        <v>16</v>
      </c>
      <c r="H49" s="1" t="s">
        <v>16</v>
      </c>
      <c r="J49" s="1">
        <v>3.2134</v>
      </c>
    </row>
    <row r="50" spans="2:11" x14ac:dyDescent="0.45">
      <c r="B50" s="1" t="s">
        <v>8</v>
      </c>
      <c r="C50" s="1">
        <v>34.6</v>
      </c>
      <c r="E50" s="1" t="s">
        <v>16</v>
      </c>
      <c r="G50" s="1" t="s">
        <v>16</v>
      </c>
      <c r="H50" s="1" t="s">
        <v>16</v>
      </c>
      <c r="J50" s="1">
        <v>3.1724999999999999</v>
      </c>
    </row>
    <row r="51" spans="2:11" x14ac:dyDescent="0.45">
      <c r="B51" s="19" t="s">
        <v>56</v>
      </c>
      <c r="C51" s="14">
        <f>AVERAGE(C46:C50)</f>
        <v>34.480000000000004</v>
      </c>
      <c r="E51" s="14" t="e">
        <f>AVERAGE(E46:E50)</f>
        <v>#DIV/0!</v>
      </c>
      <c r="G51" s="14" t="e">
        <f>AVERAGE(G46:G50)</f>
        <v>#DIV/0!</v>
      </c>
      <c r="J51" s="14">
        <f>AVERAGE(J46:J50)</f>
        <v>3.19164</v>
      </c>
    </row>
    <row r="52" spans="2:11" x14ac:dyDescent="0.45">
      <c r="B52" s="1"/>
      <c r="C52" s="1"/>
      <c r="E52" s="1"/>
      <c r="G52" s="1"/>
      <c r="H52" s="1"/>
      <c r="J52" s="1"/>
    </row>
    <row r="53" spans="2:11" x14ac:dyDescent="0.45">
      <c r="B53" s="2"/>
    </row>
    <row r="54" spans="2:11" ht="17.649999999999999" x14ac:dyDescent="0.45">
      <c r="B54" s="11" t="s">
        <v>43</v>
      </c>
      <c r="C54" s="3"/>
      <c r="D54" s="3"/>
      <c r="E54" s="3"/>
      <c r="F54" s="3"/>
      <c r="G54" s="3"/>
    </row>
    <row r="55" spans="2:11" ht="28.9" thickBot="1" x14ac:dyDescent="0.5">
      <c r="B55" s="2" t="s">
        <v>1</v>
      </c>
      <c r="C55" s="2" t="s">
        <v>58</v>
      </c>
      <c r="D55" s="9">
        <f>_xlfn.STDEV.S(C56:C60)</f>
        <v>21.547853257343299</v>
      </c>
      <c r="E55" s="2" t="s">
        <v>59</v>
      </c>
      <c r="F55" s="9"/>
      <c r="G55" s="2" t="s">
        <v>60</v>
      </c>
      <c r="H55" s="2" t="s">
        <v>61</v>
      </c>
      <c r="I55" s="9">
        <f>_xlfn.STDEV.S(H56:H60)</f>
        <v>3.0840119973826314E-2</v>
      </c>
      <c r="J55" s="2" t="s">
        <v>5</v>
      </c>
      <c r="K55" s="9">
        <f>_xlfn.STDEV.S(J56:J60)</f>
        <v>2.6556035095623796E-2</v>
      </c>
    </row>
    <row r="56" spans="2:11" x14ac:dyDescent="0.45">
      <c r="B56" s="1" t="s">
        <v>6</v>
      </c>
      <c r="C56" s="1">
        <v>451.87</v>
      </c>
      <c r="E56" s="1" t="s">
        <v>16</v>
      </c>
      <c r="G56" s="1"/>
      <c r="H56" s="1">
        <v>0.23749999999999999</v>
      </c>
      <c r="J56" s="1">
        <v>1.6059000000000001</v>
      </c>
    </row>
    <row r="57" spans="2:11" x14ac:dyDescent="0.45">
      <c r="B57" s="1" t="s">
        <v>6</v>
      </c>
      <c r="C57" s="1">
        <v>440.9</v>
      </c>
      <c r="E57" s="1" t="s">
        <v>16</v>
      </c>
      <c r="G57" s="1"/>
      <c r="H57" s="1">
        <v>0.3039</v>
      </c>
      <c r="J57" s="1">
        <v>1.5495000000000001</v>
      </c>
    </row>
    <row r="58" spans="2:11" x14ac:dyDescent="0.45">
      <c r="B58" s="1" t="s">
        <v>6</v>
      </c>
      <c r="C58" s="1">
        <v>481.53</v>
      </c>
      <c r="E58" s="1" t="s">
        <v>16</v>
      </c>
      <c r="G58" s="1"/>
      <c r="H58" s="1">
        <v>0.31430000000000002</v>
      </c>
      <c r="J58" s="1">
        <v>1.5404</v>
      </c>
    </row>
    <row r="59" spans="2:11" x14ac:dyDescent="0.45">
      <c r="B59" s="1" t="s">
        <v>6</v>
      </c>
      <c r="C59" s="1">
        <v>485.65</v>
      </c>
      <c r="E59" s="1" t="s">
        <v>16</v>
      </c>
      <c r="G59" s="1"/>
      <c r="H59" s="1">
        <v>0.30620000000000003</v>
      </c>
      <c r="J59" s="1">
        <v>1.5451999999999999</v>
      </c>
    </row>
    <row r="60" spans="2:11" x14ac:dyDescent="0.45">
      <c r="B60" s="1" t="s">
        <v>6</v>
      </c>
      <c r="C60" s="1">
        <v>487.47</v>
      </c>
      <c r="E60" s="1" t="s">
        <v>16</v>
      </c>
      <c r="G60" s="1"/>
      <c r="H60" s="1">
        <v>0.29239999999999999</v>
      </c>
      <c r="J60" s="1">
        <v>1.5591999999999999</v>
      </c>
    </row>
    <row r="61" spans="2:11" x14ac:dyDescent="0.45">
      <c r="B61" s="19" t="s">
        <v>56</v>
      </c>
      <c r="C61" s="14">
        <f>AVERAGE(C56:C60)</f>
        <v>469.48400000000004</v>
      </c>
      <c r="E61" s="14" t="e">
        <f>AVERAGE(E56:E60)</f>
        <v>#DIV/0!</v>
      </c>
      <c r="G61" s="14" t="e">
        <f>AVERAGE(G56:G60)</f>
        <v>#DIV/0!</v>
      </c>
      <c r="H61" s="14">
        <f>AVERAGE(H56:H60)</f>
        <v>0.29086000000000001</v>
      </c>
      <c r="J61" s="14">
        <f>AVERAGE(J56:J60)</f>
        <v>1.5600399999999999</v>
      </c>
    </row>
    <row r="62" spans="2:11" ht="16.149999999999999" thickBot="1" x14ac:dyDescent="0.5">
      <c r="D62" s="9">
        <f>_xlfn.STDEV.S(C63:C67)</f>
        <v>10.937347484650925</v>
      </c>
      <c r="I62" s="9">
        <f>_xlfn.STDEV.S(H63:H67)</f>
        <v>7.7995512691436302E-3</v>
      </c>
      <c r="K62" s="9">
        <f>_xlfn.STDEV.S(J63:J67)</f>
        <v>7.4935305430751794E-3</v>
      </c>
    </row>
    <row r="63" spans="2:11" x14ac:dyDescent="0.45">
      <c r="B63" s="1" t="s">
        <v>8</v>
      </c>
      <c r="C63" s="1">
        <v>51.55</v>
      </c>
      <c r="E63" s="1" t="s">
        <v>16</v>
      </c>
      <c r="G63" s="1"/>
      <c r="H63" s="1">
        <v>0.27860000000000001</v>
      </c>
      <c r="J63" s="1">
        <v>1.5713999999999999</v>
      </c>
    </row>
    <row r="64" spans="2:11" x14ac:dyDescent="0.45">
      <c r="B64" s="1" t="s">
        <v>8</v>
      </c>
      <c r="C64" s="1">
        <v>31.08</v>
      </c>
      <c r="E64" s="1" t="s">
        <v>16</v>
      </c>
      <c r="G64" s="1"/>
      <c r="H64" s="1">
        <v>0.26550000000000001</v>
      </c>
      <c r="J64" s="1">
        <v>1.5762</v>
      </c>
    </row>
    <row r="65" spans="2:10" x14ac:dyDescent="0.45">
      <c r="B65" s="1" t="s">
        <v>8</v>
      </c>
      <c r="C65" s="1">
        <v>31.69</v>
      </c>
      <c r="E65" s="1" t="s">
        <v>16</v>
      </c>
      <c r="G65" s="1"/>
      <c r="H65" s="1">
        <v>0.27689999999999998</v>
      </c>
      <c r="J65" s="1">
        <v>1.5679000000000001</v>
      </c>
    </row>
    <row r="66" spans="2:10" x14ac:dyDescent="0.45">
      <c r="B66" s="1" t="s">
        <v>8</v>
      </c>
      <c r="C66" s="1">
        <v>31.66</v>
      </c>
      <c r="E66" s="1" t="s">
        <v>16</v>
      </c>
      <c r="G66" s="1"/>
      <c r="H66" s="1">
        <v>0.2676</v>
      </c>
      <c r="J66" s="1">
        <v>1.5737000000000001</v>
      </c>
    </row>
    <row r="67" spans="2:10" x14ac:dyDescent="0.45">
      <c r="B67" s="1" t="s">
        <v>8</v>
      </c>
      <c r="C67" s="1">
        <v>51.33</v>
      </c>
      <c r="E67" s="1" t="s">
        <v>16</v>
      </c>
      <c r="G67" s="1"/>
      <c r="H67" s="1">
        <v>0.28410000000000002</v>
      </c>
      <c r="J67" s="1">
        <v>1.5569999999999999</v>
      </c>
    </row>
    <row r="68" spans="2:10" x14ac:dyDescent="0.45">
      <c r="B68" s="19" t="s">
        <v>56</v>
      </c>
      <c r="C68" s="14">
        <f>AVERAGE(C63:C67)</f>
        <v>39.462000000000003</v>
      </c>
      <c r="E68" s="14" t="e">
        <f>AVERAGE(E63:E67)</f>
        <v>#DIV/0!</v>
      </c>
      <c r="G68" s="14" t="e">
        <f>AVERAGE(G63:G67)</f>
        <v>#DIV/0!</v>
      </c>
      <c r="H68" s="14">
        <f>AVERAGE(H63:H67)</f>
        <v>0.27454000000000001</v>
      </c>
      <c r="J68" s="14">
        <f>AVERAGE(J63:J67)</f>
        <v>1.56924</v>
      </c>
    </row>
    <row r="69" spans="2:10" x14ac:dyDescent="0.45">
      <c r="B69" s="2"/>
    </row>
    <row r="71" spans="2:10" ht="17.649999999999999" x14ac:dyDescent="0.45">
      <c r="B71" s="11" t="s">
        <v>42</v>
      </c>
      <c r="C71" s="3"/>
      <c r="D71" s="3"/>
      <c r="E71" s="3"/>
      <c r="F71" s="3"/>
      <c r="G71" s="3"/>
    </row>
    <row r="72" spans="2:10" ht="28.9" thickBot="1" x14ac:dyDescent="0.5">
      <c r="B72" s="2" t="s">
        <v>1</v>
      </c>
      <c r="C72" s="2" t="s">
        <v>58</v>
      </c>
      <c r="D72" s="9">
        <f>_xlfn.STDEV.S(C73:C77)</f>
        <v>8.994596711359554</v>
      </c>
      <c r="E72" s="2" t="s">
        <v>59</v>
      </c>
      <c r="F72" s="9"/>
      <c r="G72" s="2" t="s">
        <v>60</v>
      </c>
      <c r="H72" s="2" t="s">
        <v>61</v>
      </c>
      <c r="I72" s="9">
        <f>_xlfn.STDEV.S(H73:H77)</f>
        <v>1.2412670766236366E-16</v>
      </c>
      <c r="J72" s="2" t="s">
        <v>5</v>
      </c>
    </row>
    <row r="73" spans="2:10" ht="16.149999999999999" thickBot="1" x14ac:dyDescent="0.5">
      <c r="B73" s="1" t="s">
        <v>6</v>
      </c>
      <c r="C73" s="1">
        <v>768.35</v>
      </c>
      <c r="E73" s="1" t="s">
        <v>16</v>
      </c>
      <c r="F73" s="9"/>
      <c r="G73" s="1" t="e">
        <f>C73*E73</f>
        <v>#VALUE!</v>
      </c>
      <c r="H73" s="1">
        <v>0.81499999999999995</v>
      </c>
      <c r="J73" s="1" t="s">
        <v>16</v>
      </c>
    </row>
    <row r="74" spans="2:10" x14ac:dyDescent="0.45">
      <c r="B74" s="1" t="s">
        <v>6</v>
      </c>
      <c r="C74" s="1">
        <v>743.62</v>
      </c>
      <c r="E74" s="1" t="s">
        <v>16</v>
      </c>
      <c r="G74" s="1" t="e">
        <f t="shared" ref="G74:G77" si="0">C74*E74</f>
        <v>#VALUE!</v>
      </c>
      <c r="H74" s="1">
        <v>0.81499999999999995</v>
      </c>
      <c r="J74" s="1" t="s">
        <v>16</v>
      </c>
    </row>
    <row r="75" spans="2:10" x14ac:dyDescent="0.45">
      <c r="B75" s="1" t="s">
        <v>6</v>
      </c>
      <c r="C75" s="1">
        <v>752.6</v>
      </c>
      <c r="E75" s="1" t="s">
        <v>16</v>
      </c>
      <c r="G75" s="1" t="e">
        <f t="shared" si="0"/>
        <v>#VALUE!</v>
      </c>
      <c r="H75" s="1">
        <v>0.81499999999999995</v>
      </c>
      <c r="J75" s="1" t="s">
        <v>16</v>
      </c>
    </row>
    <row r="76" spans="2:10" x14ac:dyDescent="0.45">
      <c r="B76" s="1" t="s">
        <v>6</v>
      </c>
      <c r="C76" s="1">
        <v>753.37</v>
      </c>
      <c r="E76" s="1" t="s">
        <v>16</v>
      </c>
      <c r="G76" s="1" t="e">
        <f t="shared" si="0"/>
        <v>#VALUE!</v>
      </c>
      <c r="H76" s="1">
        <v>0.81499999999999995</v>
      </c>
      <c r="J76" s="1" t="s">
        <v>16</v>
      </c>
    </row>
    <row r="77" spans="2:10" x14ac:dyDescent="0.45">
      <c r="B77" s="1" t="s">
        <v>6</v>
      </c>
      <c r="C77" s="1">
        <v>751.22</v>
      </c>
      <c r="E77" s="1" t="s">
        <v>16</v>
      </c>
      <c r="G77" s="1" t="e">
        <f t="shared" si="0"/>
        <v>#VALUE!</v>
      </c>
      <c r="H77" s="1">
        <v>0.81499999999999995</v>
      </c>
      <c r="J77" s="1" t="s">
        <v>16</v>
      </c>
    </row>
    <row r="78" spans="2:10" x14ac:dyDescent="0.45">
      <c r="B78" s="19" t="s">
        <v>56</v>
      </c>
      <c r="C78">
        <f>AVERAGE(C73:C77)</f>
        <v>753.83199999999999</v>
      </c>
      <c r="E78" t="e">
        <f>AVERAGE(E73:E77)</f>
        <v>#DIV/0!</v>
      </c>
      <c r="G78" s="14" t="e">
        <f>AVERAGE(G73:G77)</f>
        <v>#VALUE!</v>
      </c>
      <c r="H78" s="14">
        <f>AVERAGE(H73:H77)</f>
        <v>0.81499999999999984</v>
      </c>
    </row>
    <row r="80" spans="2:10" ht="28.9" thickBot="1" x14ac:dyDescent="0.5">
      <c r="B80" s="2" t="s">
        <v>1</v>
      </c>
      <c r="C80" s="2" t="s">
        <v>58</v>
      </c>
      <c r="D80" s="9">
        <f>_xlfn.STDEV.S(C81:C85)</f>
        <v>0.25371243564319002</v>
      </c>
      <c r="E80" s="2" t="s">
        <v>59</v>
      </c>
      <c r="F80" s="9"/>
      <c r="G80" s="2" t="s">
        <v>60</v>
      </c>
      <c r="H80" s="2" t="s">
        <v>61</v>
      </c>
      <c r="I80" s="9">
        <f>_xlfn.STDEV.S(H81:H85)</f>
        <v>0</v>
      </c>
      <c r="J80" s="2" t="s">
        <v>5</v>
      </c>
    </row>
    <row r="81" spans="2:10" ht="16.149999999999999" thickBot="1" x14ac:dyDescent="0.5">
      <c r="B81" s="1" t="s">
        <v>8</v>
      </c>
      <c r="C81" s="1">
        <v>31.45</v>
      </c>
      <c r="E81" s="1" t="s">
        <v>16</v>
      </c>
      <c r="F81" s="9"/>
      <c r="G81" s="1" t="e">
        <f>C81*E81</f>
        <v>#VALUE!</v>
      </c>
      <c r="H81" s="1">
        <v>0.81899999999999995</v>
      </c>
      <c r="J81" s="1" t="s">
        <v>16</v>
      </c>
    </row>
    <row r="82" spans="2:10" x14ac:dyDescent="0.45">
      <c r="B82" s="1" t="s">
        <v>8</v>
      </c>
      <c r="C82" s="1">
        <v>30.89</v>
      </c>
      <c r="E82" s="1" t="s">
        <v>16</v>
      </c>
      <c r="G82" s="1" t="e">
        <f t="shared" ref="G82:G85" si="1">C82*E82</f>
        <v>#VALUE!</v>
      </c>
      <c r="H82" s="1">
        <v>0.81899999999999995</v>
      </c>
      <c r="J82" s="1" t="s">
        <v>16</v>
      </c>
    </row>
    <row r="83" spans="2:10" x14ac:dyDescent="0.45">
      <c r="B83" s="1" t="s">
        <v>8</v>
      </c>
      <c r="C83" s="1">
        <v>31.52</v>
      </c>
      <c r="E83" s="1" t="s">
        <v>16</v>
      </c>
      <c r="G83" s="1" t="e">
        <f t="shared" si="1"/>
        <v>#VALUE!</v>
      </c>
      <c r="H83" s="1">
        <v>0.81899999999999995</v>
      </c>
      <c r="J83" s="1" t="s">
        <v>16</v>
      </c>
    </row>
    <row r="84" spans="2:10" x14ac:dyDescent="0.45">
      <c r="B84" s="1" t="s">
        <v>8</v>
      </c>
      <c r="C84" s="1">
        <v>31.41</v>
      </c>
      <c r="E84" s="1" t="s">
        <v>16</v>
      </c>
      <c r="G84" s="1" t="e">
        <f t="shared" si="1"/>
        <v>#VALUE!</v>
      </c>
      <c r="H84" s="1">
        <v>0.81899999999999995</v>
      </c>
      <c r="J84" s="1" t="s">
        <v>16</v>
      </c>
    </row>
    <row r="85" spans="2:10" x14ac:dyDescent="0.45">
      <c r="B85" s="1" t="s">
        <v>8</v>
      </c>
      <c r="C85" s="1">
        <v>31.22</v>
      </c>
      <c r="E85" s="1" t="s">
        <v>16</v>
      </c>
      <c r="G85" s="1" t="e">
        <f t="shared" si="1"/>
        <v>#VALUE!</v>
      </c>
      <c r="H85" s="1">
        <v>0.81899999999999995</v>
      </c>
      <c r="J85" s="1" t="s">
        <v>16</v>
      </c>
    </row>
    <row r="86" spans="2:10" x14ac:dyDescent="0.45">
      <c r="B86" s="19" t="s">
        <v>56</v>
      </c>
      <c r="C86">
        <f>AVERAGE(C81:C85)</f>
        <v>31.298000000000002</v>
      </c>
      <c r="E86" t="e">
        <f>AVERAGE(E81:E85)</f>
        <v>#DIV/0!</v>
      </c>
      <c r="G86" s="14" t="e">
        <f>AVERAGE(G81:G85)</f>
        <v>#VALUE!</v>
      </c>
      <c r="H86" s="14">
        <f>AVERAGE(H81:H85)</f>
        <v>0.81899999999999995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FF41-279E-4ABA-947E-FF8FD301D2AB}">
  <dimension ref="C2:N61"/>
  <sheetViews>
    <sheetView zoomScale="75" workbookViewId="0">
      <selection activeCell="E11" sqref="E11:F11"/>
    </sheetView>
  </sheetViews>
  <sheetFormatPr defaultRowHeight="14.25" x14ac:dyDescent="0.45"/>
  <cols>
    <col min="3" max="3" width="14.796875" style="5" customWidth="1"/>
    <col min="4" max="4" width="15.19921875" style="3" customWidth="1"/>
    <col min="5" max="5" width="14.46484375" style="3" customWidth="1"/>
    <col min="6" max="6" width="15.796875" style="3" customWidth="1"/>
    <col min="7" max="7" width="15.53125" style="3" customWidth="1"/>
    <col min="8" max="8" width="15.19921875" style="3" customWidth="1"/>
    <col min="9" max="9" width="8.86328125" style="3"/>
  </cols>
  <sheetData>
    <row r="2" spans="3:9" ht="17.649999999999999" x14ac:dyDescent="0.45">
      <c r="C2" s="4" t="s">
        <v>36</v>
      </c>
    </row>
    <row r="4" spans="3:9" x14ac:dyDescent="0.45">
      <c r="C4" s="6" t="s">
        <v>0</v>
      </c>
      <c r="D4" s="2" t="s">
        <v>25</v>
      </c>
      <c r="E4" s="2" t="s">
        <v>26</v>
      </c>
      <c r="F4" s="2" t="s">
        <v>3</v>
      </c>
      <c r="G4" s="2" t="s">
        <v>27</v>
      </c>
      <c r="H4" s="2" t="s">
        <v>4</v>
      </c>
      <c r="I4" s="2" t="s">
        <v>5</v>
      </c>
    </row>
    <row r="5" spans="3:9" x14ac:dyDescent="0.45">
      <c r="C5" s="7" t="s">
        <v>24</v>
      </c>
      <c r="D5" s="1" t="s">
        <v>8</v>
      </c>
      <c r="E5" s="1">
        <v>36.5</v>
      </c>
      <c r="F5" s="1">
        <v>167</v>
      </c>
      <c r="G5" s="1">
        <v>6095.5</v>
      </c>
      <c r="H5" s="1" t="s">
        <v>29</v>
      </c>
      <c r="I5" s="1">
        <v>3.5945999999999998</v>
      </c>
    </row>
    <row r="6" spans="3:9" x14ac:dyDescent="0.45">
      <c r="C6" s="7" t="s">
        <v>19</v>
      </c>
      <c r="D6" s="1" t="s">
        <v>8</v>
      </c>
      <c r="E6" s="1">
        <v>71.150000000000006</v>
      </c>
      <c r="F6" s="1">
        <v>105</v>
      </c>
      <c r="G6" s="1">
        <v>7470.75</v>
      </c>
      <c r="H6" s="1" t="s">
        <v>29</v>
      </c>
      <c r="I6" s="1">
        <v>3.4260000000000002</v>
      </c>
    </row>
    <row r="7" spans="3:9" x14ac:dyDescent="0.45">
      <c r="C7" s="7" t="s">
        <v>20</v>
      </c>
      <c r="D7" s="1" t="s">
        <v>6</v>
      </c>
      <c r="E7" s="1">
        <v>106.402</v>
      </c>
      <c r="F7" s="1">
        <v>53</v>
      </c>
      <c r="G7" s="1">
        <v>5639.3059999999996</v>
      </c>
      <c r="H7" s="1" t="s">
        <v>12</v>
      </c>
      <c r="I7" s="1">
        <v>3.6882999999999999</v>
      </c>
    </row>
    <row r="8" spans="3:9" x14ac:dyDescent="0.45">
      <c r="C8" s="7" t="s">
        <v>23</v>
      </c>
      <c r="D8" s="1" t="s">
        <v>6</v>
      </c>
      <c r="E8" s="1">
        <v>356.5</v>
      </c>
      <c r="F8" s="1">
        <v>119</v>
      </c>
      <c r="G8" s="1">
        <v>42423.5</v>
      </c>
      <c r="H8" s="1" t="s">
        <v>29</v>
      </c>
      <c r="I8" s="1">
        <v>3.6413000000000002</v>
      </c>
    </row>
    <row r="9" spans="3:9" x14ac:dyDescent="0.45">
      <c r="C9" s="7" t="s">
        <v>28</v>
      </c>
      <c r="D9" s="1" t="s">
        <v>6</v>
      </c>
      <c r="E9" s="1">
        <v>418</v>
      </c>
      <c r="F9" s="1">
        <v>73</v>
      </c>
      <c r="G9" s="1">
        <v>30514</v>
      </c>
      <c r="H9" s="1" t="s">
        <v>29</v>
      </c>
      <c r="I9" s="1">
        <v>3.5488</v>
      </c>
    </row>
    <row r="10" spans="3:9" x14ac:dyDescent="0.45">
      <c r="C10" s="7" t="s">
        <v>17</v>
      </c>
      <c r="D10" s="1" t="s">
        <v>6</v>
      </c>
      <c r="E10" s="1">
        <v>1143.31</v>
      </c>
      <c r="F10" s="1">
        <v>11.3</v>
      </c>
      <c r="G10" s="1">
        <v>12919.403</v>
      </c>
      <c r="H10" s="1" t="s">
        <v>16</v>
      </c>
      <c r="I10" s="1">
        <v>3.6894999999999998</v>
      </c>
    </row>
    <row r="11" spans="3:9" x14ac:dyDescent="0.45">
      <c r="C11" s="7" t="s">
        <v>21</v>
      </c>
      <c r="D11" s="1" t="s">
        <v>8</v>
      </c>
      <c r="E11" s="12">
        <v>3254</v>
      </c>
      <c r="F11" s="12">
        <v>82</v>
      </c>
      <c r="G11" s="1" t="s">
        <v>13</v>
      </c>
      <c r="H11" s="1" t="s">
        <v>12</v>
      </c>
      <c r="I11" s="1" t="s">
        <v>29</v>
      </c>
    </row>
    <row r="12" spans="3:9" x14ac:dyDescent="0.45">
      <c r="C12" s="7" t="s">
        <v>17</v>
      </c>
      <c r="D12" s="1" t="s">
        <v>8</v>
      </c>
      <c r="E12" s="1" t="s">
        <v>13</v>
      </c>
      <c r="F12" s="1" t="s">
        <v>29</v>
      </c>
      <c r="G12" s="1" t="s">
        <v>13</v>
      </c>
      <c r="H12" s="1" t="s">
        <v>12</v>
      </c>
      <c r="I12" s="1" t="s">
        <v>29</v>
      </c>
    </row>
    <row r="15" spans="3:9" ht="17.649999999999999" x14ac:dyDescent="0.45">
      <c r="C15" s="4" t="s">
        <v>30</v>
      </c>
    </row>
    <row r="17" spans="3:14" x14ac:dyDescent="0.45">
      <c r="C17" s="2" t="s">
        <v>0</v>
      </c>
      <c r="D17" s="2" t="s">
        <v>25</v>
      </c>
      <c r="E17" s="2" t="s">
        <v>26</v>
      </c>
      <c r="F17" s="2" t="s">
        <v>3</v>
      </c>
      <c r="G17" s="2" t="s">
        <v>27</v>
      </c>
      <c r="H17" s="2" t="s">
        <v>4</v>
      </c>
      <c r="I17" s="2" t="s">
        <v>5</v>
      </c>
    </row>
    <row r="18" spans="3:14" x14ac:dyDescent="0.45">
      <c r="C18" s="8" t="s">
        <v>21</v>
      </c>
      <c r="D18" s="8" t="s">
        <v>34</v>
      </c>
      <c r="E18" s="8">
        <v>23.58</v>
      </c>
      <c r="F18" s="8">
        <v>88</v>
      </c>
      <c r="G18" s="8">
        <v>2075.04</v>
      </c>
      <c r="H18" s="8" t="s">
        <v>12</v>
      </c>
      <c r="I18" s="8">
        <v>3.2242999999999999</v>
      </c>
      <c r="L18" s="7"/>
      <c r="M18" s="1"/>
      <c r="N18" s="1"/>
    </row>
    <row r="19" spans="3:14" x14ac:dyDescent="0.45">
      <c r="C19" s="8" t="s">
        <v>20</v>
      </c>
      <c r="D19" s="8" t="s">
        <v>33</v>
      </c>
      <c r="E19" s="8">
        <v>28.79</v>
      </c>
      <c r="F19" s="8">
        <v>83</v>
      </c>
      <c r="G19" s="8">
        <v>2389.5700000000002</v>
      </c>
      <c r="H19" s="8" t="s">
        <v>15</v>
      </c>
      <c r="I19" s="8">
        <v>3.1726000000000001</v>
      </c>
      <c r="L19" s="7"/>
      <c r="M19" s="1"/>
      <c r="N19" s="1"/>
    </row>
    <row r="20" spans="3:14" x14ac:dyDescent="0.45">
      <c r="C20" s="8" t="s">
        <v>19</v>
      </c>
      <c r="D20" s="8" t="s">
        <v>32</v>
      </c>
      <c r="E20" s="8">
        <v>38.9</v>
      </c>
      <c r="F20" s="8">
        <v>119</v>
      </c>
      <c r="G20" s="8">
        <v>4629.1000000000004</v>
      </c>
      <c r="H20" s="8" t="s">
        <v>29</v>
      </c>
      <c r="I20" s="8">
        <v>2.8395999999999999</v>
      </c>
    </row>
    <row r="21" spans="3:14" x14ac:dyDescent="0.45">
      <c r="C21" s="8" t="s">
        <v>24</v>
      </c>
      <c r="D21" s="8" t="s">
        <v>8</v>
      </c>
      <c r="E21" s="8">
        <v>20.58</v>
      </c>
      <c r="F21" s="8">
        <v>274.33</v>
      </c>
      <c r="G21" s="8">
        <v>5645.71</v>
      </c>
      <c r="H21" s="8" t="s">
        <v>29</v>
      </c>
      <c r="I21" s="8">
        <v>2.8172000000000001</v>
      </c>
    </row>
    <row r="22" spans="3:14" x14ac:dyDescent="0.45">
      <c r="C22" s="8" t="s">
        <v>28</v>
      </c>
      <c r="D22" s="8" t="s">
        <v>31</v>
      </c>
      <c r="E22" s="8">
        <v>1099.67</v>
      </c>
      <c r="F22" s="8">
        <v>71</v>
      </c>
      <c r="G22" s="8">
        <v>78076.570000000007</v>
      </c>
      <c r="H22" s="8" t="s">
        <v>29</v>
      </c>
      <c r="I22" s="8">
        <v>2.8153999999999999</v>
      </c>
    </row>
    <row r="23" spans="3:14" x14ac:dyDescent="0.45">
      <c r="C23" s="8" t="s">
        <v>23</v>
      </c>
      <c r="D23" s="8" t="s">
        <v>6</v>
      </c>
      <c r="E23" s="8">
        <v>1099</v>
      </c>
      <c r="F23" s="8">
        <v>126.33</v>
      </c>
      <c r="G23" s="8">
        <v>138669.67000000001</v>
      </c>
      <c r="H23" s="8" t="s">
        <v>29</v>
      </c>
      <c r="I23" s="8">
        <v>2.8172000000000001</v>
      </c>
    </row>
    <row r="24" spans="3:14" ht="17.649999999999999" x14ac:dyDescent="0.45">
      <c r="C24" s="4" t="s">
        <v>35</v>
      </c>
    </row>
    <row r="26" spans="3:14" x14ac:dyDescent="0.45">
      <c r="C26" s="6" t="s">
        <v>0</v>
      </c>
      <c r="D26" s="2" t="s">
        <v>25</v>
      </c>
      <c r="E26" s="2" t="s">
        <v>26</v>
      </c>
      <c r="F26" s="2" t="s">
        <v>3</v>
      </c>
      <c r="G26" s="2" t="s">
        <v>27</v>
      </c>
      <c r="H26" s="2" t="s">
        <v>4</v>
      </c>
      <c r="I26" s="2" t="s">
        <v>5</v>
      </c>
    </row>
    <row r="27" spans="3:14" x14ac:dyDescent="0.45">
      <c r="C27" s="7" t="s">
        <v>24</v>
      </c>
      <c r="D27" s="1" t="s">
        <v>8</v>
      </c>
      <c r="E27" s="1">
        <v>11.61</v>
      </c>
      <c r="F27" s="1">
        <v>247</v>
      </c>
      <c r="G27" s="1">
        <v>2867.67</v>
      </c>
      <c r="H27" s="1">
        <v>0.48149999999999998</v>
      </c>
      <c r="I27" s="1">
        <v>1.4113</v>
      </c>
    </row>
    <row r="28" spans="3:14" x14ac:dyDescent="0.45">
      <c r="C28" s="7" t="s">
        <v>19</v>
      </c>
      <c r="D28" s="1" t="s">
        <v>8</v>
      </c>
      <c r="E28" s="1">
        <v>20.92</v>
      </c>
      <c r="F28" s="1">
        <v>120</v>
      </c>
      <c r="G28" s="1">
        <v>2510.4</v>
      </c>
      <c r="H28" s="1">
        <v>0.47820000000000001</v>
      </c>
      <c r="I28" s="1">
        <v>1.4186000000000001</v>
      </c>
    </row>
    <row r="29" spans="3:14" x14ac:dyDescent="0.45">
      <c r="C29" s="7" t="s">
        <v>21</v>
      </c>
      <c r="D29" s="1" t="s">
        <v>8</v>
      </c>
      <c r="E29" s="1">
        <v>21.47</v>
      </c>
      <c r="F29" s="1">
        <v>73</v>
      </c>
      <c r="G29" s="1">
        <v>1567.31</v>
      </c>
      <c r="H29" s="1" t="s">
        <v>29</v>
      </c>
      <c r="I29" s="1" t="s">
        <v>29</v>
      </c>
    </row>
    <row r="30" spans="3:14" x14ac:dyDescent="0.45">
      <c r="C30" s="7" t="s">
        <v>20</v>
      </c>
      <c r="D30" s="1" t="s">
        <v>6</v>
      </c>
      <c r="E30" s="1">
        <v>95.57</v>
      </c>
      <c r="F30" s="1">
        <v>68</v>
      </c>
      <c r="G30" s="1">
        <v>6498.76</v>
      </c>
      <c r="H30" s="1" t="s">
        <v>29</v>
      </c>
      <c r="I30" s="1" t="s">
        <v>29</v>
      </c>
    </row>
    <row r="31" spans="3:14" x14ac:dyDescent="0.45">
      <c r="C31" s="7" t="s">
        <v>23</v>
      </c>
      <c r="D31" s="1" t="s">
        <v>6</v>
      </c>
      <c r="E31" s="1">
        <v>117.25</v>
      </c>
      <c r="F31" s="1">
        <v>128</v>
      </c>
      <c r="G31" s="1">
        <v>15008</v>
      </c>
      <c r="H31" s="1">
        <v>0.47810000000000002</v>
      </c>
      <c r="I31" s="1">
        <v>1.4185000000000001</v>
      </c>
    </row>
    <row r="32" spans="3:14" x14ac:dyDescent="0.45">
      <c r="C32" s="7" t="s">
        <v>28</v>
      </c>
      <c r="D32" s="1" t="s">
        <v>6</v>
      </c>
      <c r="E32" s="1">
        <v>277.2</v>
      </c>
      <c r="F32" s="1">
        <v>85</v>
      </c>
      <c r="G32" s="1">
        <v>23562</v>
      </c>
      <c r="H32" s="1">
        <v>0.4783</v>
      </c>
      <c r="I32" s="1">
        <v>1.4181999999999999</v>
      </c>
    </row>
    <row r="33" spans="3:9" x14ac:dyDescent="0.45">
      <c r="C33" s="7" t="s">
        <v>17</v>
      </c>
      <c r="D33" s="1" t="s">
        <v>6</v>
      </c>
      <c r="E33" s="1">
        <v>1219.52</v>
      </c>
      <c r="F33" s="1">
        <v>12.5</v>
      </c>
      <c r="G33" s="1">
        <v>15244</v>
      </c>
      <c r="H33" s="1">
        <v>0.47870000000000001</v>
      </c>
      <c r="I33" s="1">
        <v>1.4124000000000001</v>
      </c>
    </row>
    <row r="34" spans="3:9" ht="28.5" x14ac:dyDescent="0.45">
      <c r="C34" s="7" t="s">
        <v>22</v>
      </c>
      <c r="D34" s="1" t="s">
        <v>8</v>
      </c>
      <c r="E34" s="1" t="s">
        <v>13</v>
      </c>
      <c r="F34" s="1" t="s">
        <v>29</v>
      </c>
      <c r="G34" s="1" t="s">
        <v>29</v>
      </c>
      <c r="H34" s="1" t="s">
        <v>29</v>
      </c>
      <c r="I34" s="1" t="s">
        <v>29</v>
      </c>
    </row>
    <row r="37" spans="3:9" ht="17.649999999999999" x14ac:dyDescent="0.45">
      <c r="C37" s="4" t="s">
        <v>37</v>
      </c>
    </row>
    <row r="39" spans="3:9" x14ac:dyDescent="0.45">
      <c r="C39" s="6" t="s">
        <v>0</v>
      </c>
      <c r="D39" s="2" t="s">
        <v>25</v>
      </c>
      <c r="E39" s="2" t="s">
        <v>26</v>
      </c>
      <c r="F39" s="2" t="s">
        <v>3</v>
      </c>
      <c r="G39" s="2" t="s">
        <v>27</v>
      </c>
      <c r="H39" s="2" t="s">
        <v>4</v>
      </c>
      <c r="I39" s="2" t="s">
        <v>5</v>
      </c>
    </row>
    <row r="40" spans="3:9" x14ac:dyDescent="0.45">
      <c r="C40" s="7" t="s">
        <v>24</v>
      </c>
      <c r="D40" s="1" t="s">
        <v>8</v>
      </c>
      <c r="E40" s="1">
        <v>17.489999999999998</v>
      </c>
      <c r="F40" s="1">
        <v>177</v>
      </c>
      <c r="G40" s="1">
        <v>3095.73</v>
      </c>
      <c r="H40" s="1">
        <v>0.8145</v>
      </c>
      <c r="I40" s="1" t="s">
        <v>29</v>
      </c>
    </row>
    <row r="41" spans="3:9" x14ac:dyDescent="0.45">
      <c r="C41" s="7" t="s">
        <v>19</v>
      </c>
      <c r="D41" s="1" t="s">
        <v>8</v>
      </c>
      <c r="E41" s="1">
        <v>25.12</v>
      </c>
      <c r="F41" s="1">
        <v>100.5</v>
      </c>
      <c r="G41" s="1">
        <v>4243</v>
      </c>
      <c r="H41" s="1">
        <v>0.2301</v>
      </c>
      <c r="I41" s="1">
        <v>1.6036999999999999</v>
      </c>
    </row>
    <row r="42" spans="3:9" x14ac:dyDescent="0.45">
      <c r="C42" s="7" t="s">
        <v>20</v>
      </c>
      <c r="D42" s="1" t="s">
        <v>6</v>
      </c>
      <c r="E42" s="1">
        <v>35.270000000000003</v>
      </c>
      <c r="F42" s="1">
        <v>68</v>
      </c>
      <c r="G42" s="1">
        <v>2398.36</v>
      </c>
      <c r="H42" s="1">
        <v>0.81499999999999995</v>
      </c>
      <c r="I42" s="1" t="s">
        <v>16</v>
      </c>
    </row>
    <row r="43" spans="3:9" x14ac:dyDescent="0.45">
      <c r="C43" s="7" t="s">
        <v>23</v>
      </c>
      <c r="D43" s="1" t="s">
        <v>6</v>
      </c>
      <c r="E43" s="1">
        <v>69.37</v>
      </c>
      <c r="F43" s="1">
        <v>136</v>
      </c>
      <c r="G43" s="1">
        <v>9434.32</v>
      </c>
      <c r="H43" s="1">
        <v>0.81499999999999995</v>
      </c>
      <c r="I43" s="1" t="s">
        <v>29</v>
      </c>
    </row>
    <row r="44" spans="3:9" x14ac:dyDescent="0.45">
      <c r="C44" s="7" t="s">
        <v>28</v>
      </c>
      <c r="D44" s="1" t="s">
        <v>6</v>
      </c>
      <c r="E44" s="1">
        <v>440.71</v>
      </c>
      <c r="F44" s="1">
        <v>64</v>
      </c>
      <c r="G44" s="1">
        <v>31488</v>
      </c>
      <c r="H44" s="1">
        <v>0.81499999999999995</v>
      </c>
      <c r="I44" s="1" t="s">
        <v>29</v>
      </c>
    </row>
    <row r="45" spans="3:9" x14ac:dyDescent="0.45">
      <c r="C45" s="7" t="s">
        <v>17</v>
      </c>
      <c r="D45" s="1" t="s">
        <v>6</v>
      </c>
      <c r="E45" s="1">
        <v>1342.46</v>
      </c>
      <c r="F45" s="1">
        <v>10.8</v>
      </c>
      <c r="G45" s="1">
        <v>14498.567999999999</v>
      </c>
      <c r="H45" s="1">
        <v>0.81499999999999995</v>
      </c>
      <c r="I45" s="1" t="s">
        <v>16</v>
      </c>
    </row>
    <row r="46" spans="3:9" x14ac:dyDescent="0.45">
      <c r="C46" s="7" t="s">
        <v>21</v>
      </c>
      <c r="D46" s="1" t="s">
        <v>8</v>
      </c>
      <c r="E46" s="1" t="s">
        <v>13</v>
      </c>
      <c r="F46" s="1" t="s">
        <v>29</v>
      </c>
      <c r="G46" s="1" t="s">
        <v>13</v>
      </c>
      <c r="H46" s="1" t="s">
        <v>29</v>
      </c>
      <c r="I46" s="1" t="s">
        <v>29</v>
      </c>
    </row>
    <row r="47" spans="3:9" ht="28.5" x14ac:dyDescent="0.45">
      <c r="C47" s="7" t="s">
        <v>22</v>
      </c>
      <c r="D47" s="1" t="s">
        <v>8</v>
      </c>
      <c r="E47" s="1" t="s">
        <v>13</v>
      </c>
      <c r="F47" s="1" t="s">
        <v>29</v>
      </c>
      <c r="G47" s="1" t="s">
        <v>13</v>
      </c>
      <c r="H47" s="1" t="s">
        <v>29</v>
      </c>
      <c r="I47" s="1" t="s">
        <v>29</v>
      </c>
    </row>
    <row r="50" spans="3:9" ht="17.649999999999999" x14ac:dyDescent="0.45">
      <c r="C50" s="4" t="s">
        <v>38</v>
      </c>
    </row>
    <row r="52" spans="3:9" x14ac:dyDescent="0.45">
      <c r="C52" s="6" t="s">
        <v>0</v>
      </c>
      <c r="D52" s="2" t="s">
        <v>25</v>
      </c>
      <c r="E52" s="2" t="s">
        <v>26</v>
      </c>
      <c r="F52" s="2" t="s">
        <v>3</v>
      </c>
      <c r="G52" s="2" t="s">
        <v>27</v>
      </c>
      <c r="H52" s="2" t="s">
        <v>4</v>
      </c>
      <c r="I52" s="2" t="s">
        <v>5</v>
      </c>
    </row>
    <row r="53" spans="3:9" x14ac:dyDescent="0.45">
      <c r="C53" s="7" t="s">
        <v>24</v>
      </c>
      <c r="D53" s="1" t="s">
        <v>8</v>
      </c>
      <c r="E53" s="1">
        <v>8.23</v>
      </c>
      <c r="F53" s="1">
        <v>228</v>
      </c>
      <c r="G53" s="1">
        <v>1876.44</v>
      </c>
      <c r="H53" s="1">
        <v>0.32050000000000001</v>
      </c>
      <c r="I53" s="1">
        <v>1.5241</v>
      </c>
    </row>
    <row r="54" spans="3:9" x14ac:dyDescent="0.45">
      <c r="C54" s="7" t="s">
        <v>19</v>
      </c>
      <c r="D54" s="1" t="s">
        <v>8</v>
      </c>
      <c r="E54" s="1">
        <v>25.12</v>
      </c>
      <c r="F54" s="1">
        <v>100.5</v>
      </c>
      <c r="G54" s="1">
        <v>2524.56</v>
      </c>
      <c r="H54" s="1">
        <v>0.2301</v>
      </c>
      <c r="I54" s="1">
        <v>1.6036999999999999</v>
      </c>
    </row>
    <row r="55" spans="3:9" x14ac:dyDescent="0.45">
      <c r="C55" s="7" t="s">
        <v>21</v>
      </c>
      <c r="D55" s="1" t="s">
        <v>8</v>
      </c>
      <c r="E55" s="1">
        <v>34.031999999999996</v>
      </c>
      <c r="F55" s="1">
        <v>29</v>
      </c>
      <c r="G55" s="1">
        <v>986.928</v>
      </c>
      <c r="H55" s="1">
        <v>0.2157</v>
      </c>
      <c r="I55" s="1">
        <v>1.7110000000000001</v>
      </c>
    </row>
    <row r="56" spans="3:9" x14ac:dyDescent="0.45">
      <c r="C56" s="7" t="s">
        <v>20</v>
      </c>
      <c r="D56" s="1" t="s">
        <v>6</v>
      </c>
      <c r="E56" s="1">
        <v>94.32</v>
      </c>
      <c r="F56" s="1">
        <v>34</v>
      </c>
      <c r="G56" s="1">
        <v>3206.88</v>
      </c>
      <c r="H56" s="1">
        <v>0.20979999999999999</v>
      </c>
      <c r="I56" s="1">
        <v>1.6060000000000001</v>
      </c>
    </row>
    <row r="57" spans="3:9" x14ac:dyDescent="0.45">
      <c r="C57" s="7" t="s">
        <v>28</v>
      </c>
      <c r="D57" s="1" t="s">
        <v>6</v>
      </c>
      <c r="E57" s="1">
        <v>169.17</v>
      </c>
      <c r="F57" s="1">
        <v>63</v>
      </c>
      <c r="G57" s="1">
        <v>10657.71</v>
      </c>
      <c r="H57" s="1">
        <v>0.2039</v>
      </c>
      <c r="I57" s="1">
        <v>1.6099000000000001</v>
      </c>
    </row>
    <row r="58" spans="3:9" x14ac:dyDescent="0.45">
      <c r="C58" s="7" t="s">
        <v>23</v>
      </c>
      <c r="D58" s="1" t="s">
        <v>6</v>
      </c>
      <c r="E58" s="1">
        <v>205.5</v>
      </c>
      <c r="F58" s="1">
        <v>108</v>
      </c>
      <c r="G58" s="1">
        <v>22194</v>
      </c>
      <c r="H58" s="1">
        <v>0.3155</v>
      </c>
      <c r="I58" s="1">
        <v>1.5411999999999999</v>
      </c>
    </row>
    <row r="59" spans="3:9" x14ac:dyDescent="0.45">
      <c r="C59" s="7" t="s">
        <v>17</v>
      </c>
      <c r="D59" s="1" t="s">
        <v>6</v>
      </c>
      <c r="E59" s="1">
        <v>608.73</v>
      </c>
      <c r="F59" s="1">
        <v>10.5</v>
      </c>
      <c r="G59" s="1">
        <v>6391.665</v>
      </c>
      <c r="H59" s="1">
        <v>0.20979999999999999</v>
      </c>
      <c r="I59" s="1">
        <v>1.6060000000000001</v>
      </c>
    </row>
    <row r="60" spans="3:9" ht="28.5" x14ac:dyDescent="0.45">
      <c r="C60" s="7" t="s">
        <v>22</v>
      </c>
      <c r="D60" s="1" t="s">
        <v>8</v>
      </c>
      <c r="E60" s="1" t="s">
        <v>13</v>
      </c>
      <c r="F60" s="1" t="s">
        <v>29</v>
      </c>
      <c r="G60" s="1" t="s">
        <v>13</v>
      </c>
      <c r="H60" s="1" t="s">
        <v>29</v>
      </c>
      <c r="I60" s="1" t="s">
        <v>29</v>
      </c>
    </row>
    <row r="61" spans="3:9" x14ac:dyDescent="0.45">
      <c r="C61" s="7"/>
      <c r="D61" s="1"/>
      <c r="E61" s="1"/>
      <c r="F61" s="1"/>
      <c r="G61" s="1"/>
      <c r="H61" s="1"/>
      <c r="I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Apple M4</vt:lpstr>
      <vt:lpstr>Ryzen 7 1660ti</vt:lpstr>
      <vt:lpstr>5660TI</vt:lpstr>
      <vt:lpstr>Raspberry Pi 5</vt:lpstr>
      <vt:lpstr>Colab</vt:lpstr>
      <vt:lpstr>Tiempos por tecnica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Sierra</dc:creator>
  <cp:lastModifiedBy>Oscar Sierra</cp:lastModifiedBy>
  <dcterms:created xsi:type="dcterms:W3CDTF">2015-06-05T18:17:20Z</dcterms:created>
  <dcterms:modified xsi:type="dcterms:W3CDTF">2025-11-10T15:24:07Z</dcterms:modified>
</cp:coreProperties>
</file>