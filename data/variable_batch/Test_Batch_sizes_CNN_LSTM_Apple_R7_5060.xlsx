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\Desktop\ARCHIVOS EPOCH\"/>
    </mc:Choice>
  </mc:AlternateContent>
  <xr:revisionPtr revIDLastSave="0" documentId="13_ncr:1_{ECCE227E-BB7B-48C0-B0C2-6AA0BEAE86B3}" xr6:coauthVersionLast="47" xr6:coauthVersionMax="47" xr10:uidLastSave="{00000000-0000-0000-0000-000000000000}"/>
  <bookViews>
    <workbookView xWindow="-108" yWindow="-108" windowWidth="23256" windowHeight="12456" activeTab="3" xr2:uid="{9D677795-407C-42BA-B6D0-443559CEFCE0}"/>
  </bookViews>
  <sheets>
    <sheet name="AIRM4_CNN_CPU" sheetId="1" r:id="rId1"/>
    <sheet name="AIRM4_CNN_GPU" sheetId="2" r:id="rId2"/>
    <sheet name="AIRM4_LSTM_CPU" sheetId="3" r:id="rId3"/>
    <sheet name="AIRM4_LSTM_GPU" sheetId="4" r:id="rId4"/>
    <sheet name="M4PRO_CNN_CPU" sheetId="5" r:id="rId5"/>
    <sheet name="M4PRO_CNN_GPU" sheetId="6" r:id="rId6"/>
    <sheet name="M4PRO_LSTM_GPU" sheetId="8" r:id="rId7"/>
    <sheet name="M4PRO_LSTM_CPU" sheetId="7" r:id="rId8"/>
    <sheet name="R7_7800_CNN" sheetId="9" r:id="rId9"/>
    <sheet name="5060TI_CNN" sheetId="10" r:id="rId10"/>
    <sheet name="R7_7800_LSTM" sheetId="11" r:id="rId11"/>
    <sheet name="5060TI_LSTM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4" l="1"/>
  <c r="O24" i="4"/>
  <c r="N24" i="4"/>
  <c r="M24" i="4"/>
  <c r="L24" i="4"/>
  <c r="K24" i="4"/>
  <c r="P21" i="4"/>
  <c r="O21" i="4"/>
  <c r="N21" i="4"/>
  <c r="M21" i="4"/>
  <c r="L21" i="4"/>
  <c r="K21" i="4"/>
  <c r="P27" i="1"/>
  <c r="O27" i="1"/>
  <c r="N27" i="1"/>
  <c r="M27" i="1"/>
  <c r="L27" i="1"/>
  <c r="K27" i="1"/>
  <c r="P24" i="1"/>
  <c r="O24" i="1"/>
  <c r="N24" i="1"/>
  <c r="M24" i="1"/>
  <c r="L24" i="1"/>
  <c r="K24" i="1"/>
  <c r="P21" i="1"/>
  <c r="O21" i="1"/>
  <c r="N21" i="1"/>
  <c r="M21" i="1"/>
  <c r="L21" i="1"/>
  <c r="K21" i="1"/>
  <c r="P18" i="1"/>
  <c r="O18" i="1"/>
  <c r="N18" i="1"/>
  <c r="M18" i="1"/>
  <c r="L18" i="1"/>
  <c r="K18" i="1"/>
  <c r="P15" i="1"/>
  <c r="O15" i="1"/>
  <c r="N15" i="1"/>
  <c r="M15" i="1"/>
  <c r="L15" i="1"/>
  <c r="K15" i="1"/>
  <c r="P12" i="1"/>
  <c r="O12" i="1"/>
  <c r="N12" i="1"/>
  <c r="M12" i="1"/>
  <c r="L12" i="1"/>
  <c r="K12" i="1"/>
  <c r="P9" i="1"/>
  <c r="O9" i="1"/>
  <c r="N9" i="1"/>
  <c r="M9" i="1"/>
  <c r="L9" i="1"/>
  <c r="K9" i="1"/>
  <c r="P6" i="1"/>
  <c r="O6" i="1"/>
  <c r="N6" i="1"/>
  <c r="M6" i="1"/>
  <c r="L6" i="1"/>
  <c r="K6" i="1"/>
  <c r="P3" i="1"/>
  <c r="O3" i="1"/>
  <c r="N3" i="1"/>
  <c r="M3" i="1"/>
  <c r="L3" i="1"/>
  <c r="K3" i="1"/>
  <c r="P18" i="2"/>
  <c r="O18" i="2"/>
  <c r="N18" i="2"/>
  <c r="M18" i="2"/>
  <c r="L18" i="2"/>
  <c r="K18" i="2"/>
  <c r="P15" i="2"/>
  <c r="O15" i="2"/>
  <c r="N15" i="2"/>
  <c r="M15" i="2"/>
  <c r="L15" i="2"/>
  <c r="K15" i="2"/>
  <c r="P12" i="2"/>
  <c r="O12" i="2"/>
  <c r="N12" i="2"/>
  <c r="M12" i="2"/>
  <c r="L12" i="2"/>
  <c r="K12" i="2"/>
  <c r="P9" i="2"/>
  <c r="O9" i="2"/>
  <c r="N9" i="2"/>
  <c r="M9" i="2"/>
  <c r="L9" i="2"/>
  <c r="K9" i="2"/>
  <c r="P6" i="2"/>
  <c r="O6" i="2"/>
  <c r="N6" i="2"/>
  <c r="M6" i="2"/>
  <c r="L6" i="2"/>
  <c r="K6" i="2"/>
  <c r="P3" i="2"/>
  <c r="O3" i="2"/>
  <c r="N3" i="2"/>
  <c r="M3" i="2"/>
  <c r="L3" i="2"/>
  <c r="K3" i="2"/>
  <c r="P24" i="3"/>
  <c r="O24" i="3"/>
  <c r="N24" i="3"/>
  <c r="M24" i="3"/>
  <c r="L24" i="3"/>
  <c r="K24" i="3"/>
  <c r="P21" i="3"/>
  <c r="O21" i="3"/>
  <c r="N21" i="3"/>
  <c r="M21" i="3"/>
  <c r="L21" i="3"/>
  <c r="K21" i="3"/>
  <c r="P18" i="3"/>
  <c r="O18" i="3"/>
  <c r="N18" i="3"/>
  <c r="M18" i="3"/>
  <c r="L18" i="3"/>
  <c r="K18" i="3"/>
  <c r="P15" i="3"/>
  <c r="O15" i="3"/>
  <c r="N15" i="3"/>
  <c r="M15" i="3"/>
  <c r="L15" i="3"/>
  <c r="K15" i="3"/>
  <c r="P12" i="3"/>
  <c r="O12" i="3"/>
  <c r="N12" i="3"/>
  <c r="M12" i="3"/>
  <c r="L12" i="3"/>
  <c r="K12" i="3"/>
  <c r="P9" i="3"/>
  <c r="O9" i="3"/>
  <c r="N9" i="3"/>
  <c r="M9" i="3"/>
  <c r="L9" i="3"/>
  <c r="K9" i="3"/>
  <c r="P6" i="3"/>
  <c r="O6" i="3"/>
  <c r="N6" i="3"/>
  <c r="M6" i="3"/>
  <c r="L6" i="3"/>
  <c r="K6" i="3"/>
  <c r="P3" i="3"/>
  <c r="O3" i="3"/>
  <c r="N3" i="3"/>
  <c r="M3" i="3"/>
  <c r="L3" i="3"/>
  <c r="K3" i="3"/>
  <c r="P18" i="4"/>
  <c r="O18" i="4"/>
  <c r="N18" i="4"/>
  <c r="M18" i="4"/>
  <c r="L18" i="4"/>
  <c r="K18" i="4"/>
  <c r="P15" i="4"/>
  <c r="O15" i="4"/>
  <c r="N15" i="4"/>
  <c r="M15" i="4"/>
  <c r="L15" i="4"/>
  <c r="K15" i="4"/>
  <c r="P12" i="4"/>
  <c r="O12" i="4"/>
  <c r="N12" i="4"/>
  <c r="M12" i="4"/>
  <c r="L12" i="4"/>
  <c r="K12" i="4"/>
  <c r="P9" i="4"/>
  <c r="O9" i="4"/>
  <c r="N9" i="4"/>
  <c r="M9" i="4"/>
  <c r="L9" i="4"/>
  <c r="K9" i="4"/>
  <c r="P6" i="4"/>
  <c r="O6" i="4"/>
  <c r="N6" i="4"/>
  <c r="M6" i="4"/>
  <c r="L6" i="4"/>
  <c r="K6" i="4"/>
  <c r="P3" i="4"/>
  <c r="O3" i="4"/>
  <c r="N3" i="4"/>
  <c r="M3" i="4"/>
  <c r="L3" i="4"/>
  <c r="K3" i="4"/>
  <c r="P27" i="5"/>
  <c r="O27" i="5"/>
  <c r="N27" i="5"/>
  <c r="M27" i="5"/>
  <c r="L27" i="5"/>
  <c r="K27" i="5"/>
  <c r="P24" i="5"/>
  <c r="O24" i="5"/>
  <c r="N24" i="5"/>
  <c r="M24" i="5"/>
  <c r="L24" i="5"/>
  <c r="K24" i="5"/>
  <c r="P21" i="5"/>
  <c r="O21" i="5"/>
  <c r="N21" i="5"/>
  <c r="M21" i="5"/>
  <c r="L21" i="5"/>
  <c r="K21" i="5"/>
  <c r="P18" i="5"/>
  <c r="O18" i="5"/>
  <c r="N18" i="5"/>
  <c r="M18" i="5"/>
  <c r="L18" i="5"/>
  <c r="K18" i="5"/>
  <c r="P15" i="5"/>
  <c r="O15" i="5"/>
  <c r="N15" i="5"/>
  <c r="M15" i="5"/>
  <c r="L15" i="5"/>
  <c r="K15" i="5"/>
  <c r="P12" i="5"/>
  <c r="O12" i="5"/>
  <c r="N12" i="5"/>
  <c r="M12" i="5"/>
  <c r="L12" i="5"/>
  <c r="K12" i="5"/>
  <c r="P9" i="5"/>
  <c r="O9" i="5"/>
  <c r="N9" i="5"/>
  <c r="M9" i="5"/>
  <c r="L9" i="5"/>
  <c r="K9" i="5"/>
  <c r="P6" i="5"/>
  <c r="O6" i="5"/>
  <c r="N6" i="5"/>
  <c r="M6" i="5"/>
  <c r="L6" i="5"/>
  <c r="K6" i="5"/>
  <c r="P3" i="5"/>
  <c r="O3" i="5"/>
  <c r="N3" i="5"/>
  <c r="M3" i="5"/>
  <c r="L3" i="5"/>
  <c r="K3" i="5"/>
  <c r="P18" i="6"/>
  <c r="O18" i="6"/>
  <c r="N18" i="6"/>
  <c r="M18" i="6"/>
  <c r="L18" i="6"/>
  <c r="K18" i="6"/>
  <c r="P15" i="6"/>
  <c r="O15" i="6"/>
  <c r="N15" i="6"/>
  <c r="M15" i="6"/>
  <c r="L15" i="6"/>
  <c r="K15" i="6"/>
  <c r="P12" i="6"/>
  <c r="O12" i="6"/>
  <c r="N12" i="6"/>
  <c r="M12" i="6"/>
  <c r="L12" i="6"/>
  <c r="K12" i="6"/>
  <c r="P9" i="6"/>
  <c r="O9" i="6"/>
  <c r="N9" i="6"/>
  <c r="M9" i="6"/>
  <c r="L9" i="6"/>
  <c r="K9" i="6"/>
  <c r="P6" i="6"/>
  <c r="O6" i="6"/>
  <c r="N6" i="6"/>
  <c r="M6" i="6"/>
  <c r="L6" i="6"/>
  <c r="K6" i="6"/>
  <c r="P3" i="6"/>
  <c r="O3" i="6"/>
  <c r="N3" i="6"/>
  <c r="M3" i="6"/>
  <c r="L3" i="6"/>
  <c r="K3" i="6"/>
  <c r="P18" i="8"/>
  <c r="O18" i="8"/>
  <c r="N18" i="8"/>
  <c r="M18" i="8"/>
  <c r="L18" i="8"/>
  <c r="K18" i="8"/>
  <c r="P15" i="8"/>
  <c r="O15" i="8"/>
  <c r="N15" i="8"/>
  <c r="M15" i="8"/>
  <c r="L15" i="8"/>
  <c r="K15" i="8"/>
  <c r="P12" i="8"/>
  <c r="O12" i="8"/>
  <c r="N12" i="8"/>
  <c r="M12" i="8"/>
  <c r="L12" i="8"/>
  <c r="K12" i="8"/>
  <c r="P9" i="8"/>
  <c r="O9" i="8"/>
  <c r="N9" i="8"/>
  <c r="M9" i="8"/>
  <c r="L9" i="8"/>
  <c r="K9" i="8"/>
  <c r="P6" i="8"/>
  <c r="O6" i="8"/>
  <c r="N6" i="8"/>
  <c r="M6" i="8"/>
  <c r="L6" i="8"/>
  <c r="K6" i="8"/>
  <c r="P3" i="8"/>
  <c r="O3" i="8"/>
  <c r="N3" i="8"/>
  <c r="M3" i="8"/>
  <c r="L3" i="8"/>
  <c r="K3" i="8"/>
  <c r="P27" i="7"/>
  <c r="O27" i="7"/>
  <c r="N27" i="7"/>
  <c r="M27" i="7"/>
  <c r="L27" i="7"/>
  <c r="K27" i="7"/>
  <c r="P24" i="7"/>
  <c r="O24" i="7"/>
  <c r="N24" i="7"/>
  <c r="M24" i="7"/>
  <c r="L24" i="7"/>
  <c r="K24" i="7"/>
  <c r="P21" i="7"/>
  <c r="O21" i="7"/>
  <c r="N21" i="7"/>
  <c r="M21" i="7"/>
  <c r="L21" i="7"/>
  <c r="K21" i="7"/>
  <c r="P18" i="7"/>
  <c r="O18" i="7"/>
  <c r="N18" i="7"/>
  <c r="M18" i="7"/>
  <c r="L18" i="7"/>
  <c r="K18" i="7"/>
  <c r="P15" i="7"/>
  <c r="O15" i="7"/>
  <c r="N15" i="7"/>
  <c r="M15" i="7"/>
  <c r="L15" i="7"/>
  <c r="K15" i="7"/>
  <c r="P12" i="7"/>
  <c r="O12" i="7"/>
  <c r="N12" i="7"/>
  <c r="M12" i="7"/>
  <c r="L12" i="7"/>
  <c r="K12" i="7"/>
  <c r="P9" i="7"/>
  <c r="O9" i="7"/>
  <c r="N9" i="7"/>
  <c r="M9" i="7"/>
  <c r="L9" i="7"/>
  <c r="K9" i="7"/>
  <c r="P6" i="7"/>
  <c r="O6" i="7"/>
  <c r="N6" i="7"/>
  <c r="M6" i="7"/>
  <c r="L6" i="7"/>
  <c r="K6" i="7"/>
  <c r="P3" i="7"/>
  <c r="O3" i="7"/>
  <c r="N3" i="7"/>
  <c r="M3" i="7"/>
  <c r="L3" i="7"/>
  <c r="K3" i="7"/>
  <c r="P27" i="10"/>
  <c r="O27" i="10"/>
  <c r="N27" i="10"/>
  <c r="M27" i="10"/>
  <c r="L27" i="10"/>
  <c r="K27" i="10"/>
  <c r="P24" i="10"/>
  <c r="O24" i="10"/>
  <c r="N24" i="10"/>
  <c r="M24" i="10"/>
  <c r="L24" i="10"/>
  <c r="K24" i="10"/>
  <c r="P21" i="10"/>
  <c r="O21" i="10"/>
  <c r="N21" i="10"/>
  <c r="M21" i="10"/>
  <c r="L21" i="10"/>
  <c r="K21" i="10"/>
  <c r="P18" i="10"/>
  <c r="O18" i="10"/>
  <c r="N18" i="10"/>
  <c r="M18" i="10"/>
  <c r="L18" i="10"/>
  <c r="K18" i="10"/>
  <c r="P15" i="10"/>
  <c r="O15" i="10"/>
  <c r="N15" i="10"/>
  <c r="M15" i="10"/>
  <c r="L15" i="10"/>
  <c r="K15" i="10"/>
  <c r="P12" i="10"/>
  <c r="O12" i="10"/>
  <c r="N12" i="10"/>
  <c r="M12" i="10"/>
  <c r="L12" i="10"/>
  <c r="K12" i="10"/>
  <c r="P9" i="10"/>
  <c r="O9" i="10"/>
  <c r="N9" i="10"/>
  <c r="M9" i="10"/>
  <c r="L9" i="10"/>
  <c r="K9" i="10"/>
  <c r="P6" i="10"/>
  <c r="O6" i="10"/>
  <c r="N6" i="10"/>
  <c r="M6" i="10"/>
  <c r="L6" i="10"/>
  <c r="K6" i="10"/>
  <c r="P3" i="10"/>
  <c r="O3" i="10"/>
  <c r="N3" i="10"/>
  <c r="M3" i="10"/>
  <c r="L3" i="10"/>
  <c r="K3" i="10"/>
  <c r="P27" i="9"/>
  <c r="O27" i="9"/>
  <c r="N27" i="9"/>
  <c r="M27" i="9"/>
  <c r="L27" i="9"/>
  <c r="K27" i="9"/>
  <c r="P24" i="9"/>
  <c r="O24" i="9"/>
  <c r="N24" i="9"/>
  <c r="M24" i="9"/>
  <c r="L24" i="9"/>
  <c r="K24" i="9"/>
  <c r="P21" i="9"/>
  <c r="O21" i="9"/>
  <c r="N21" i="9"/>
  <c r="M21" i="9"/>
  <c r="L21" i="9"/>
  <c r="K21" i="9"/>
  <c r="P18" i="9"/>
  <c r="O18" i="9"/>
  <c r="N18" i="9"/>
  <c r="M18" i="9"/>
  <c r="L18" i="9"/>
  <c r="K18" i="9"/>
  <c r="P15" i="9"/>
  <c r="O15" i="9"/>
  <c r="N15" i="9"/>
  <c r="M15" i="9"/>
  <c r="L15" i="9"/>
  <c r="K15" i="9"/>
  <c r="P12" i="9"/>
  <c r="O12" i="9"/>
  <c r="N12" i="9"/>
  <c r="M12" i="9"/>
  <c r="L12" i="9"/>
  <c r="K12" i="9"/>
  <c r="P9" i="9"/>
  <c r="O9" i="9"/>
  <c r="N9" i="9"/>
  <c r="M9" i="9"/>
  <c r="L9" i="9"/>
  <c r="K9" i="9"/>
  <c r="P6" i="9"/>
  <c r="O6" i="9"/>
  <c r="N6" i="9"/>
  <c r="M6" i="9"/>
  <c r="L6" i="9"/>
  <c r="K6" i="9"/>
  <c r="P3" i="9"/>
  <c r="O3" i="9"/>
  <c r="N3" i="9"/>
  <c r="M3" i="9"/>
  <c r="L3" i="9"/>
  <c r="K3" i="9"/>
  <c r="P24" i="11"/>
  <c r="O24" i="11"/>
  <c r="N24" i="11"/>
  <c r="M24" i="11"/>
  <c r="L24" i="11"/>
  <c r="K24" i="11"/>
  <c r="P21" i="11"/>
  <c r="O21" i="11"/>
  <c r="N21" i="11"/>
  <c r="M21" i="11"/>
  <c r="L21" i="11"/>
  <c r="K21" i="11"/>
  <c r="P18" i="11"/>
  <c r="O18" i="11"/>
  <c r="N18" i="11"/>
  <c r="M18" i="11"/>
  <c r="L18" i="11"/>
  <c r="K18" i="11"/>
  <c r="P15" i="11"/>
  <c r="O15" i="11"/>
  <c r="N15" i="11"/>
  <c r="M15" i="11"/>
  <c r="L15" i="11"/>
  <c r="K15" i="11"/>
  <c r="P12" i="11"/>
  <c r="O12" i="11"/>
  <c r="N12" i="11"/>
  <c r="M12" i="11"/>
  <c r="L12" i="11"/>
  <c r="K12" i="11"/>
  <c r="P9" i="11"/>
  <c r="O9" i="11"/>
  <c r="N9" i="11"/>
  <c r="M9" i="11"/>
  <c r="L9" i="11"/>
  <c r="K9" i="11"/>
  <c r="P6" i="11"/>
  <c r="O6" i="11"/>
  <c r="N6" i="11"/>
  <c r="M6" i="11"/>
  <c r="L6" i="11"/>
  <c r="K6" i="11"/>
  <c r="P3" i="11"/>
  <c r="O3" i="11"/>
  <c r="N3" i="11"/>
  <c r="M3" i="11"/>
  <c r="L3" i="11"/>
  <c r="K3" i="11"/>
  <c r="P24" i="12"/>
  <c r="O24" i="12"/>
  <c r="N24" i="12"/>
  <c r="M24" i="12"/>
  <c r="L24" i="12"/>
  <c r="K24" i="12"/>
  <c r="P21" i="12"/>
  <c r="O21" i="12"/>
  <c r="N21" i="12"/>
  <c r="M21" i="12"/>
  <c r="L21" i="12"/>
  <c r="K21" i="12"/>
  <c r="P18" i="12"/>
  <c r="O18" i="12"/>
  <c r="N18" i="12"/>
  <c r="M18" i="12"/>
  <c r="L18" i="12"/>
  <c r="K18" i="12"/>
  <c r="P15" i="12"/>
  <c r="O15" i="12"/>
  <c r="N15" i="12"/>
  <c r="M15" i="12"/>
  <c r="L15" i="12"/>
  <c r="K15" i="12"/>
  <c r="P12" i="12"/>
  <c r="O12" i="12"/>
  <c r="N12" i="12"/>
  <c r="M12" i="12"/>
  <c r="L12" i="12"/>
  <c r="K12" i="12"/>
  <c r="P9" i="12"/>
  <c r="O9" i="12"/>
  <c r="N9" i="12"/>
  <c r="M9" i="12"/>
  <c r="L9" i="12"/>
  <c r="K9" i="12"/>
  <c r="P6" i="12"/>
  <c r="O6" i="12"/>
  <c r="N6" i="12"/>
  <c r="M6" i="12"/>
  <c r="L6" i="12"/>
  <c r="K6" i="12"/>
  <c r="P3" i="12"/>
  <c r="N3" i="12"/>
  <c r="L3" i="12"/>
  <c r="O3" i="12"/>
  <c r="M3" i="12"/>
  <c r="K3" i="12"/>
</calcChain>
</file>

<file path=xl/sharedStrings.xml><?xml version="1.0" encoding="utf-8"?>
<sst xmlns="http://schemas.openxmlformats.org/spreadsheetml/2006/main" count="736" uniqueCount="33">
  <si>
    <t>Batch</t>
  </si>
  <si>
    <t>Run</t>
  </si>
  <si>
    <t>Total Time (s)</t>
  </si>
  <si>
    <t>Time/Epoch (s)</t>
  </si>
  <si>
    <t>Throughput (samples/s)</t>
  </si>
  <si>
    <t>AIR M4 CNN CPU</t>
  </si>
  <si>
    <t>AIR M4 CNN GPU</t>
  </si>
  <si>
    <t>AIR M4 LSTM CPU</t>
  </si>
  <si>
    <t>AIR M4 LSTM GPU</t>
  </si>
  <si>
    <t>M4 PRO CNN CPU</t>
  </si>
  <si>
    <t>M4 PRO CNN GPU</t>
  </si>
  <si>
    <t>M4 PRO LSTM CPU</t>
  </si>
  <si>
    <t>M4 PRO LSTM GPU</t>
  </si>
  <si>
    <t>RYZEN 7 7800X3D CNN</t>
  </si>
  <si>
    <t>NVIDIA RTX 5060TI</t>
  </si>
  <si>
    <t>RYZEN 7 7800X3D LSTM</t>
  </si>
  <si>
    <t>NVIDIA RTX 5060TI LSTM</t>
  </si>
  <si>
    <t>Total time</t>
  </si>
  <si>
    <t>Time/Epoch</t>
  </si>
  <si>
    <t>Throughtput</t>
  </si>
  <si>
    <t>Batch 16</t>
  </si>
  <si>
    <t>Batch 32</t>
  </si>
  <si>
    <t>Batch 64</t>
  </si>
  <si>
    <t>Batch 128</t>
  </si>
  <si>
    <t>Batch 256</t>
  </si>
  <si>
    <t>Batch 512</t>
  </si>
  <si>
    <t>Batch 1024</t>
  </si>
  <si>
    <t>Batch 2048</t>
  </si>
  <si>
    <t>Batch 4096</t>
  </si>
  <si>
    <t>Batch 8192</t>
  </si>
  <si>
    <t>Batch 16384</t>
  </si>
  <si>
    <t>Std Desv</t>
  </si>
  <si>
    <t>Batch2048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</si>
</sst>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A09B8-533F-4CA5-B3B0-008178A1373F}">
  <dimension ref="B1:P29"/>
  <sheetViews>
    <sheetView workbookViewId="0">
      <selection activeCell="K27" sqref="K27"/>
    </sheetView>
  </sheetViews>
  <sheetFormatPr defaultRowHeight="14.4" x14ac:dyDescent="0.3"/>
  <sheetData>
    <row r="1" spans="2:16" x14ac:dyDescent="0.3">
      <c r="B1" t="s">
        <v>5</v>
      </c>
      <c r="K1" t="s">
        <v>22</v>
      </c>
    </row>
    <row r="2" spans="2:16" x14ac:dyDescent="0.3">
      <c r="C2" t="s">
        <v>1</v>
      </c>
      <c r="D2" t="s">
        <v>2</v>
      </c>
      <c r="E2" t="s">
        <v>3</v>
      </c>
      <c r="F2" t="s">
        <v>4</v>
      </c>
      <c r="K2" t="s">
        <v>17</v>
      </c>
      <c r="L2" t="s">
        <v>31</v>
      </c>
      <c r="M2" t="s">
        <v>18</v>
      </c>
      <c r="N2" t="s">
        <v>31</v>
      </c>
      <c r="O2" t="s">
        <v>19</v>
      </c>
      <c r="P2" t="s">
        <v>31</v>
      </c>
    </row>
    <row r="3" spans="2:16" x14ac:dyDescent="0.3">
      <c r="B3">
        <v>64</v>
      </c>
      <c r="C3">
        <v>1</v>
      </c>
      <c r="D3">
        <v>28.332100000000001</v>
      </c>
      <c r="E3">
        <v>7.0830000000000002</v>
      </c>
      <c r="F3">
        <v>7059.13</v>
      </c>
      <c r="K3">
        <f>AVERAGE(D3:D5)</f>
        <v>28.525566666666666</v>
      </c>
      <c r="L3">
        <f>_xlfn.STDEV.P(D3,D4,D5)</f>
        <v>0.14544704267265879</v>
      </c>
      <c r="M3">
        <f>AVERAGE(E3:E5)</f>
        <v>7.1314000000000002</v>
      </c>
      <c r="N3">
        <f>_xlfn.STDEV.P(E3,E4,E5)</f>
        <v>3.6377007390199986E-2</v>
      </c>
      <c r="O3">
        <f>AVERAGE(F3:F5)</f>
        <v>7011.44</v>
      </c>
      <c r="P3">
        <f>_xlfn.STDEV.P(F3,F4,F5)</f>
        <v>35.812077106287404</v>
      </c>
    </row>
    <row r="4" spans="2:16" x14ac:dyDescent="0.3">
      <c r="B4">
        <v>64</v>
      </c>
      <c r="C4">
        <v>2</v>
      </c>
      <c r="D4">
        <v>28.6828</v>
      </c>
      <c r="E4">
        <v>7.1707000000000001</v>
      </c>
      <c r="F4">
        <v>6972.83</v>
      </c>
      <c r="K4" t="s">
        <v>23</v>
      </c>
    </row>
    <row r="5" spans="2:16" x14ac:dyDescent="0.3">
      <c r="B5">
        <v>64</v>
      </c>
      <c r="C5">
        <v>3</v>
      </c>
      <c r="D5">
        <v>28.561800000000002</v>
      </c>
      <c r="E5">
        <v>7.1405000000000003</v>
      </c>
      <c r="F5">
        <v>7002.36</v>
      </c>
      <c r="K5" t="s">
        <v>17</v>
      </c>
      <c r="L5" t="s">
        <v>31</v>
      </c>
      <c r="M5" t="s">
        <v>18</v>
      </c>
      <c r="N5" t="s">
        <v>31</v>
      </c>
      <c r="O5" t="s">
        <v>19</v>
      </c>
      <c r="P5" t="s">
        <v>31</v>
      </c>
    </row>
    <row r="6" spans="2:16" x14ac:dyDescent="0.3">
      <c r="B6">
        <v>128</v>
      </c>
      <c r="C6">
        <v>1</v>
      </c>
      <c r="D6">
        <v>25.988199999999999</v>
      </c>
      <c r="E6">
        <v>6.4969999999999999</v>
      </c>
      <c r="F6">
        <v>7695.81</v>
      </c>
      <c r="K6">
        <f>AVERAGE(D6:D8)</f>
        <v>27.836933333333334</v>
      </c>
      <c r="L6">
        <f>_xlfn.STDEV.P(D6,D7,D8)</f>
        <v>2.7462853946538206</v>
      </c>
      <c r="M6">
        <f>AVERAGE(E6:E8)</f>
        <v>6.9592000000000001</v>
      </c>
      <c r="N6">
        <f>_xlfn.STDEV.P(E6,E7,E8)</f>
        <v>0.68657695854142975</v>
      </c>
      <c r="O6">
        <f>AVERAGE(F6:F8)</f>
        <v>7250.6933333333336</v>
      </c>
      <c r="P6">
        <f>_xlfn.STDEV.P(F6,F7,F8)</f>
        <v>668.86601340544189</v>
      </c>
    </row>
    <row r="7" spans="2:16" x14ac:dyDescent="0.3">
      <c r="B7">
        <v>128</v>
      </c>
      <c r="C7">
        <v>2</v>
      </c>
      <c r="D7">
        <v>25.8033</v>
      </c>
      <c r="E7">
        <v>6.4508000000000001</v>
      </c>
      <c r="F7">
        <v>7750.96</v>
      </c>
      <c r="K7" t="s">
        <v>24</v>
      </c>
    </row>
    <row r="8" spans="2:16" x14ac:dyDescent="0.3">
      <c r="B8">
        <v>128</v>
      </c>
      <c r="C8">
        <v>3</v>
      </c>
      <c r="D8">
        <v>31.7193</v>
      </c>
      <c r="E8">
        <v>7.9298000000000002</v>
      </c>
      <c r="F8">
        <v>6305.31</v>
      </c>
      <c r="K8" t="s">
        <v>17</v>
      </c>
      <c r="L8" t="s">
        <v>31</v>
      </c>
      <c r="M8" t="s">
        <v>18</v>
      </c>
      <c r="N8" t="s">
        <v>31</v>
      </c>
      <c r="O8" t="s">
        <v>19</v>
      </c>
      <c r="P8" t="s">
        <v>31</v>
      </c>
    </row>
    <row r="9" spans="2:16" x14ac:dyDescent="0.3">
      <c r="B9">
        <v>256</v>
      </c>
      <c r="C9">
        <v>1</v>
      </c>
      <c r="D9">
        <v>23.6968</v>
      </c>
      <c r="E9">
        <v>5.9241999999999999</v>
      </c>
      <c r="F9">
        <v>8439.9500000000007</v>
      </c>
      <c r="K9">
        <f>AVERAGE(D9:D11)</f>
        <v>23.812433333333331</v>
      </c>
      <c r="L9">
        <f>_xlfn.STDEV.P(D9,D10,D11)</f>
        <v>0.18918844808520649</v>
      </c>
      <c r="M9">
        <f>AVERAGE(E9:E11)</f>
        <v>5.9531000000000001</v>
      </c>
      <c r="N9">
        <f>_xlfn.STDEV.P(E9,E10,E11)</f>
        <v>4.73037701104961E-2</v>
      </c>
      <c r="O9">
        <f>AVERAGE(F9:F11)</f>
        <v>8399.5</v>
      </c>
      <c r="P9">
        <f>_xlfn.STDEV.P(F9,F10,F11)</f>
        <v>66.373227032190115</v>
      </c>
    </row>
    <row r="10" spans="2:16" x14ac:dyDescent="0.3">
      <c r="B10">
        <v>256</v>
      </c>
      <c r="C10">
        <v>2</v>
      </c>
      <c r="D10">
        <v>23.661300000000001</v>
      </c>
      <c r="E10">
        <v>5.9153000000000002</v>
      </c>
      <c r="F10">
        <v>8452.6299999999992</v>
      </c>
      <c r="K10" t="s">
        <v>25</v>
      </c>
    </row>
    <row r="11" spans="2:16" x14ac:dyDescent="0.3">
      <c r="B11">
        <v>256</v>
      </c>
      <c r="C11">
        <v>3</v>
      </c>
      <c r="D11">
        <v>24.0792</v>
      </c>
      <c r="E11">
        <v>6.0198</v>
      </c>
      <c r="F11">
        <v>8305.92</v>
      </c>
      <c r="K11" t="s">
        <v>17</v>
      </c>
      <c r="L11" t="s">
        <v>31</v>
      </c>
      <c r="M11" t="s">
        <v>18</v>
      </c>
      <c r="N11" t="s">
        <v>31</v>
      </c>
      <c r="O11" t="s">
        <v>19</v>
      </c>
      <c r="P11" t="s">
        <v>31</v>
      </c>
    </row>
    <row r="12" spans="2:16" x14ac:dyDescent="0.3">
      <c r="B12">
        <v>512</v>
      </c>
      <c r="C12">
        <v>1</v>
      </c>
      <c r="D12">
        <v>23.751799999999999</v>
      </c>
      <c r="E12">
        <v>5.9379999999999997</v>
      </c>
      <c r="F12">
        <v>8420.41</v>
      </c>
      <c r="K12">
        <f>AVERAGE(D12:D14)</f>
        <v>25.254033333333336</v>
      </c>
      <c r="L12">
        <f>_xlfn.STDEV.P(D12,D13,D14)</f>
        <v>1.0782530016445844</v>
      </c>
      <c r="M12">
        <f>AVERAGE(E12:E14)</f>
        <v>6.313533333333333</v>
      </c>
      <c r="N12">
        <f>_xlfn.STDEV.P(E12,E13,E14)</f>
        <v>0.2695475880474954</v>
      </c>
      <c r="O12">
        <f>AVERAGE(F12:F14)</f>
        <v>7934.3866666666663</v>
      </c>
      <c r="P12">
        <f>_xlfn.STDEV.P(F12,F13,F14)</f>
        <v>348.00548332206222</v>
      </c>
    </row>
    <row r="13" spans="2:16" x14ac:dyDescent="0.3">
      <c r="B13">
        <v>512</v>
      </c>
      <c r="C13">
        <v>2</v>
      </c>
      <c r="D13">
        <v>25.778400000000001</v>
      </c>
      <c r="E13">
        <v>6.4446000000000003</v>
      </c>
      <c r="F13">
        <v>7758.44</v>
      </c>
      <c r="K13" t="s">
        <v>26</v>
      </c>
    </row>
    <row r="14" spans="2:16" x14ac:dyDescent="0.3">
      <c r="B14">
        <v>512</v>
      </c>
      <c r="C14">
        <v>3</v>
      </c>
      <c r="D14">
        <v>26.2319</v>
      </c>
      <c r="E14">
        <v>6.5579999999999998</v>
      </c>
      <c r="F14">
        <v>7624.31</v>
      </c>
      <c r="K14" t="s">
        <v>17</v>
      </c>
      <c r="L14" t="s">
        <v>31</v>
      </c>
      <c r="M14" t="s">
        <v>18</v>
      </c>
      <c r="N14" t="s">
        <v>31</v>
      </c>
      <c r="O14" t="s">
        <v>19</v>
      </c>
      <c r="P14" t="s">
        <v>31</v>
      </c>
    </row>
    <row r="15" spans="2:16" x14ac:dyDescent="0.3">
      <c r="B15">
        <v>1024</v>
      </c>
      <c r="C15">
        <v>1</v>
      </c>
      <c r="D15">
        <v>27.345600000000001</v>
      </c>
      <c r="E15">
        <v>6.8364000000000003</v>
      </c>
      <c r="F15">
        <v>7313.79</v>
      </c>
      <c r="K15">
        <f>AVERAGE(D15:D17)</f>
        <v>24.400266666666667</v>
      </c>
      <c r="L15">
        <f>_xlfn.STDEV.P(D15,D16,D17)</f>
        <v>2.1290955659361304</v>
      </c>
      <c r="M15">
        <f>AVERAGE(E15:E17)</f>
        <v>6.1000666666666667</v>
      </c>
      <c r="N15">
        <f>_xlfn.STDEV.P(E15,E16,E17)</f>
        <v>0.53227389148403259</v>
      </c>
      <c r="O15">
        <f>AVERAGE(F15:F17)</f>
        <v>8256.5833333333339</v>
      </c>
      <c r="P15">
        <f>_xlfn.STDEV.P(F15,F16,F17)</f>
        <v>687.58055088517108</v>
      </c>
    </row>
    <row r="16" spans="2:16" x14ac:dyDescent="0.3">
      <c r="B16">
        <v>1024</v>
      </c>
      <c r="C16">
        <v>2</v>
      </c>
      <c r="D16">
        <v>23.469200000000001</v>
      </c>
      <c r="E16">
        <v>5.8673000000000002</v>
      </c>
      <c r="F16">
        <v>8521.81</v>
      </c>
      <c r="K16" t="s">
        <v>27</v>
      </c>
    </row>
    <row r="17" spans="2:16" x14ac:dyDescent="0.3">
      <c r="B17">
        <v>1024</v>
      </c>
      <c r="C17">
        <v>3</v>
      </c>
      <c r="D17">
        <v>22.385999999999999</v>
      </c>
      <c r="E17">
        <v>5.5964999999999998</v>
      </c>
      <c r="F17">
        <v>8934.15</v>
      </c>
      <c r="K17" t="s">
        <v>17</v>
      </c>
      <c r="L17" t="s">
        <v>31</v>
      </c>
      <c r="M17" t="s">
        <v>18</v>
      </c>
      <c r="N17" t="s">
        <v>31</v>
      </c>
      <c r="O17" t="s">
        <v>19</v>
      </c>
      <c r="P17" t="s">
        <v>31</v>
      </c>
    </row>
    <row r="18" spans="2:16" x14ac:dyDescent="0.3">
      <c r="B18">
        <v>2048</v>
      </c>
      <c r="C18">
        <v>1</v>
      </c>
      <c r="D18">
        <v>22.8599</v>
      </c>
      <c r="E18">
        <v>5.7149999999999999</v>
      </c>
      <c r="F18">
        <v>8748.94</v>
      </c>
      <c r="K18">
        <f>AVERAGE(D18:D20)</f>
        <v>23.642499999999998</v>
      </c>
      <c r="L18">
        <f>_xlfn.STDEV.P(D18,D19,D20)</f>
        <v>0.56835010336939307</v>
      </c>
      <c r="M18">
        <f>AVERAGE(E18:E20)</f>
        <v>5.9106333333333332</v>
      </c>
      <c r="N18">
        <f>_xlfn.STDEV.P(E18,E19,E20)</f>
        <v>0.14207139832570884</v>
      </c>
      <c r="O18">
        <f>AVERAGE(F18:F20)</f>
        <v>8464.3033333333333</v>
      </c>
      <c r="P18">
        <f>_xlfn.STDEV.P(F18,F19,F20)</f>
        <v>206.21134018822102</v>
      </c>
    </row>
    <row r="19" spans="2:16" x14ac:dyDescent="0.3">
      <c r="B19">
        <v>2048</v>
      </c>
      <c r="C19">
        <v>2</v>
      </c>
      <c r="D19">
        <v>24.192499999999999</v>
      </c>
      <c r="E19">
        <v>6.0480999999999998</v>
      </c>
      <c r="F19">
        <v>8267.02</v>
      </c>
      <c r="K19" t="s">
        <v>28</v>
      </c>
    </row>
    <row r="20" spans="2:16" x14ac:dyDescent="0.3">
      <c r="B20">
        <v>2048</v>
      </c>
      <c r="C20">
        <v>3</v>
      </c>
      <c r="D20">
        <v>23.8751</v>
      </c>
      <c r="E20">
        <v>5.9687999999999999</v>
      </c>
      <c r="F20">
        <v>8376.9500000000007</v>
      </c>
      <c r="K20" t="s">
        <v>17</v>
      </c>
      <c r="L20" t="s">
        <v>31</v>
      </c>
      <c r="M20" t="s">
        <v>18</v>
      </c>
      <c r="N20" t="s">
        <v>31</v>
      </c>
      <c r="O20" t="s">
        <v>19</v>
      </c>
      <c r="P20" t="s">
        <v>31</v>
      </c>
    </row>
    <row r="21" spans="2:16" x14ac:dyDescent="0.3">
      <c r="B21">
        <v>4096</v>
      </c>
      <c r="C21">
        <v>1</v>
      </c>
      <c r="D21">
        <v>27.7804</v>
      </c>
      <c r="E21">
        <v>6.9451000000000001</v>
      </c>
      <c r="F21">
        <v>7199.32</v>
      </c>
      <c r="K21">
        <f>AVERAGE(D21:D23)</f>
        <v>25.928299999999997</v>
      </c>
      <c r="L21">
        <f>_xlfn.STDEV.P(D21,D22,D23)</f>
        <v>1.4555795203285875</v>
      </c>
      <c r="M21">
        <f>AVERAGE(E21:E23)</f>
        <v>6.4821</v>
      </c>
      <c r="N21">
        <f>_xlfn.STDEV.P(E21,E22,E23)</f>
        <v>0.3638745204966497</v>
      </c>
      <c r="O21">
        <f>AVERAGE(F21:F23)</f>
        <v>7737.7900000000009</v>
      </c>
      <c r="P21">
        <f>_xlfn.STDEV.P(F21,F22,F23)</f>
        <v>431.69870117942247</v>
      </c>
    </row>
    <row r="22" spans="2:16" x14ac:dyDescent="0.3">
      <c r="B22">
        <v>4096</v>
      </c>
      <c r="C22">
        <v>2</v>
      </c>
      <c r="D22">
        <v>25.7803</v>
      </c>
      <c r="E22">
        <v>6.4451000000000001</v>
      </c>
      <c r="F22">
        <v>7757.86</v>
      </c>
      <c r="K22" t="s">
        <v>29</v>
      </c>
    </row>
    <row r="23" spans="2:16" x14ac:dyDescent="0.3">
      <c r="B23">
        <v>4096</v>
      </c>
      <c r="C23">
        <v>3</v>
      </c>
      <c r="D23">
        <v>24.2242</v>
      </c>
      <c r="E23">
        <v>6.0560999999999998</v>
      </c>
      <c r="F23">
        <v>8256.19</v>
      </c>
      <c r="K23" t="s">
        <v>17</v>
      </c>
      <c r="L23" t="s">
        <v>31</v>
      </c>
      <c r="M23" t="s">
        <v>18</v>
      </c>
      <c r="N23" t="s">
        <v>31</v>
      </c>
      <c r="O23" t="s">
        <v>19</v>
      </c>
      <c r="P23" t="s">
        <v>31</v>
      </c>
    </row>
    <row r="24" spans="2:16" x14ac:dyDescent="0.3">
      <c r="B24">
        <v>8192</v>
      </c>
      <c r="C24">
        <v>1</v>
      </c>
      <c r="D24">
        <v>32.507199999999997</v>
      </c>
      <c r="E24">
        <v>8.1267999999999994</v>
      </c>
      <c r="F24">
        <v>6152.49</v>
      </c>
      <c r="K24">
        <f>AVERAGE(D24:D26)</f>
        <v>40.151566666666668</v>
      </c>
      <c r="L24">
        <f>_xlfn.STDEV.P(D24,D25,D26)</f>
        <v>5.5150740402000666</v>
      </c>
      <c r="M24">
        <f>AVERAGE(E24:E26)</f>
        <v>10.037866666666666</v>
      </c>
      <c r="N24">
        <f>_xlfn.STDEV.P(E24,E25,E26)</f>
        <v>1.3787491585572116</v>
      </c>
      <c r="O24">
        <f>AVERAGE(F24:F26)</f>
        <v>5085.7633333333333</v>
      </c>
      <c r="P24">
        <f>_xlfn.STDEV.P(F24,F25,F26)</f>
        <v>762.7522310393781</v>
      </c>
    </row>
    <row r="25" spans="2:16" x14ac:dyDescent="0.3">
      <c r="B25">
        <v>8192</v>
      </c>
      <c r="C25">
        <v>2</v>
      </c>
      <c r="D25">
        <v>42.633299999999998</v>
      </c>
      <c r="E25">
        <v>10.658300000000001</v>
      </c>
      <c r="F25">
        <v>4691.17</v>
      </c>
      <c r="K25" t="s">
        <v>30</v>
      </c>
    </row>
    <row r="26" spans="2:16" x14ac:dyDescent="0.3">
      <c r="B26">
        <v>8192</v>
      </c>
      <c r="C26">
        <v>3</v>
      </c>
      <c r="D26">
        <v>45.3142</v>
      </c>
      <c r="E26">
        <v>11.3285</v>
      </c>
      <c r="F26">
        <v>4413.63</v>
      </c>
      <c r="K26" t="s">
        <v>17</v>
      </c>
      <c r="L26" t="s">
        <v>31</v>
      </c>
      <c r="M26" t="s">
        <v>18</v>
      </c>
      <c r="N26" t="s">
        <v>31</v>
      </c>
      <c r="O26" t="s">
        <v>19</v>
      </c>
      <c r="P26" t="s">
        <v>31</v>
      </c>
    </row>
    <row r="27" spans="2:16" x14ac:dyDescent="0.3">
      <c r="B27">
        <v>16384</v>
      </c>
      <c r="C27">
        <v>1</v>
      </c>
      <c r="D27">
        <v>79.213499999999996</v>
      </c>
      <c r="E27">
        <v>19.8034</v>
      </c>
      <c r="F27">
        <v>2524.8200000000002</v>
      </c>
      <c r="K27">
        <f>AVERAGE(D27:D29)</f>
        <v>80.952033333333318</v>
      </c>
      <c r="L27">
        <f>_xlfn.STDEV.P(D27,D28,D29)</f>
        <v>6.5142970259439528</v>
      </c>
      <c r="M27">
        <f>AVERAGE(E27:E29)</f>
        <v>20.238033333333334</v>
      </c>
      <c r="N27">
        <f>_xlfn.STDEV.P(E27,E28,E29)</f>
        <v>1.6285742564859884</v>
      </c>
      <c r="O27">
        <f>AVERAGE(F27:F29)</f>
        <v>2486.2533333333336</v>
      </c>
      <c r="P27">
        <f>_xlfn.STDEV.P(F27,F28,F29)</f>
        <v>194.79930481281389</v>
      </c>
    </row>
    <row r="28" spans="2:16" x14ac:dyDescent="0.3">
      <c r="B28">
        <v>16384</v>
      </c>
      <c r="C28">
        <v>2</v>
      </c>
      <c r="D28">
        <v>73.9863</v>
      </c>
      <c r="E28">
        <v>18.496600000000001</v>
      </c>
      <c r="F28">
        <v>2703.2</v>
      </c>
    </row>
    <row r="29" spans="2:16" x14ac:dyDescent="0.3">
      <c r="B29">
        <v>16384</v>
      </c>
      <c r="C29">
        <v>3</v>
      </c>
      <c r="D29">
        <v>89.656300000000002</v>
      </c>
      <c r="E29">
        <v>22.414100000000001</v>
      </c>
      <c r="F29">
        <v>2230.7399999999998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9755C-9805-4FD6-921E-28BFAAEBC163}">
  <dimension ref="B1:P20"/>
  <sheetViews>
    <sheetView workbookViewId="0">
      <selection activeCell="K18" sqref="K18"/>
    </sheetView>
  </sheetViews>
  <sheetFormatPr defaultRowHeight="14.4" x14ac:dyDescent="0.3"/>
  <sheetData>
    <row r="1" spans="2:16" x14ac:dyDescent="0.3">
      <c r="B1" t="s">
        <v>6</v>
      </c>
      <c r="K1" t="s">
        <v>22</v>
      </c>
    </row>
    <row r="2" spans="2:1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K2" t="s">
        <v>17</v>
      </c>
      <c r="L2" t="s">
        <v>31</v>
      </c>
      <c r="M2" t="s">
        <v>18</v>
      </c>
      <c r="N2" t="s">
        <v>31</v>
      </c>
      <c r="O2" t="s">
        <v>19</v>
      </c>
      <c r="P2" t="s">
        <v>31</v>
      </c>
    </row>
    <row r="3" spans="2:16" x14ac:dyDescent="0.3">
      <c r="B3">
        <v>64</v>
      </c>
      <c r="C3">
        <v>1</v>
      </c>
      <c r="D3">
        <v>210.9785</v>
      </c>
      <c r="E3">
        <v>7.0326000000000004</v>
      </c>
      <c r="F3">
        <v>7109.73</v>
      </c>
      <c r="K3">
        <f>AVERAGE(D3:D5)</f>
        <v>224.6301</v>
      </c>
      <c r="L3">
        <f>_xlfn.STDEV.P(D3,D4,D5)</f>
        <v>9.6887952236935373</v>
      </c>
      <c r="M3">
        <f>AVERAGE(E3:E5)</f>
        <v>7.4876666666666667</v>
      </c>
      <c r="N3">
        <f>_xlfn.STDEV.P(E3,E4,E5)</f>
        <v>0.32296900092045294</v>
      </c>
      <c r="O3">
        <f>AVERAGE(F3:F5)</f>
        <v>6690.47</v>
      </c>
      <c r="P3">
        <f>_xlfn.STDEV.P(F3,F4,F5)</f>
        <v>297.37218105711673</v>
      </c>
    </row>
    <row r="4" spans="2:16" x14ac:dyDescent="0.3">
      <c r="B4">
        <v>64</v>
      </c>
      <c r="C4">
        <v>2</v>
      </c>
      <c r="D4">
        <v>230.43879999999999</v>
      </c>
      <c r="E4">
        <v>7.6813000000000002</v>
      </c>
      <c r="F4">
        <v>6509.32</v>
      </c>
      <c r="K4" t="s">
        <v>23</v>
      </c>
    </row>
    <row r="5" spans="2:16" x14ac:dyDescent="0.3">
      <c r="B5">
        <v>64</v>
      </c>
      <c r="C5">
        <v>3</v>
      </c>
      <c r="D5">
        <v>232.47300000000001</v>
      </c>
      <c r="E5">
        <v>7.7491000000000003</v>
      </c>
      <c r="F5">
        <v>6452.36</v>
      </c>
      <c r="K5" t="s">
        <v>17</v>
      </c>
      <c r="L5" t="s">
        <v>31</v>
      </c>
      <c r="M5" t="s">
        <v>18</v>
      </c>
      <c r="N5" t="s">
        <v>31</v>
      </c>
      <c r="O5" t="s">
        <v>19</v>
      </c>
      <c r="P5" t="s">
        <v>31</v>
      </c>
    </row>
    <row r="6" spans="2:16" x14ac:dyDescent="0.3">
      <c r="B6">
        <v>128</v>
      </c>
      <c r="C6">
        <v>1</v>
      </c>
      <c r="D6">
        <v>209.66630000000001</v>
      </c>
      <c r="E6">
        <v>6.9889000000000001</v>
      </c>
      <c r="F6">
        <v>7154.23</v>
      </c>
      <c r="K6">
        <f>AVERAGE(D6:D8)</f>
        <v>221.45449999999997</v>
      </c>
      <c r="L6">
        <f>_xlfn.STDEV.P(D6,D7,D8)</f>
        <v>14.792550828936381</v>
      </c>
      <c r="M6">
        <f>AVERAGE(E6:E8)</f>
        <v>7.3818333333333328</v>
      </c>
      <c r="N6">
        <f>_xlfn.STDEV.P(E6,E7,E8)</f>
        <v>0.49308461973805467</v>
      </c>
      <c r="O6">
        <f>AVERAGE(F6:F8)</f>
        <v>6802.4233333333332</v>
      </c>
      <c r="P6">
        <f>_xlfn.STDEV.P(F6,F7,F8)</f>
        <v>434.45850253185546</v>
      </c>
    </row>
    <row r="7" spans="2:16" x14ac:dyDescent="0.3">
      <c r="B7">
        <v>128</v>
      </c>
      <c r="C7">
        <v>2</v>
      </c>
      <c r="D7">
        <v>212.3817</v>
      </c>
      <c r="E7">
        <v>7.0793999999999997</v>
      </c>
      <c r="F7">
        <v>7062.76</v>
      </c>
      <c r="K7" t="s">
        <v>24</v>
      </c>
    </row>
    <row r="8" spans="2:16" x14ac:dyDescent="0.3">
      <c r="B8">
        <v>128</v>
      </c>
      <c r="C8">
        <v>3</v>
      </c>
      <c r="D8">
        <v>242.31549999999999</v>
      </c>
      <c r="E8">
        <v>8.0771999999999995</v>
      </c>
      <c r="F8">
        <v>6190.28</v>
      </c>
      <c r="K8" t="s">
        <v>17</v>
      </c>
      <c r="L8" t="s">
        <v>31</v>
      </c>
      <c r="M8" t="s">
        <v>18</v>
      </c>
      <c r="N8" t="s">
        <v>31</v>
      </c>
      <c r="O8" t="s">
        <v>19</v>
      </c>
      <c r="P8" t="s">
        <v>31</v>
      </c>
    </row>
    <row r="9" spans="2:16" x14ac:dyDescent="0.3">
      <c r="B9">
        <v>256</v>
      </c>
      <c r="C9">
        <v>1</v>
      </c>
      <c r="D9">
        <v>191.92840000000001</v>
      </c>
      <c r="E9">
        <v>6.3975999999999997</v>
      </c>
      <c r="F9">
        <v>7815.41</v>
      </c>
      <c r="K9">
        <f>AVERAGE(D9:D11)</f>
        <v>194.43133333333333</v>
      </c>
      <c r="L9">
        <f>_xlfn.STDEV.P(D9,D10,D11)</f>
        <v>2.1648602823790268</v>
      </c>
      <c r="M9">
        <f>AVERAGE(E9:E11)</f>
        <v>6.4810666666666661</v>
      </c>
      <c r="N9">
        <f>_xlfn.STDEV.P(E9,E10,E11)</f>
        <v>7.2184131835805049E-2</v>
      </c>
      <c r="O9">
        <f>AVERAGE(F9:F11)</f>
        <v>7715.7599999999993</v>
      </c>
      <c r="P9">
        <f>_xlfn.STDEV.P(F9,F10,F11)</f>
        <v>85.73379769184767</v>
      </c>
    </row>
    <row r="10" spans="2:16" x14ac:dyDescent="0.3">
      <c r="B10">
        <v>256</v>
      </c>
      <c r="C10">
        <v>2</v>
      </c>
      <c r="D10">
        <v>194.1559</v>
      </c>
      <c r="E10">
        <v>6.4718999999999998</v>
      </c>
      <c r="F10">
        <v>7725.75</v>
      </c>
      <c r="K10" t="s">
        <v>25</v>
      </c>
    </row>
    <row r="11" spans="2:16" x14ac:dyDescent="0.3">
      <c r="B11">
        <v>256</v>
      </c>
      <c r="C11">
        <v>3</v>
      </c>
      <c r="D11">
        <v>197.2097</v>
      </c>
      <c r="E11">
        <v>6.5736999999999997</v>
      </c>
      <c r="F11">
        <v>7606.12</v>
      </c>
      <c r="K11" t="s">
        <v>17</v>
      </c>
      <c r="L11" t="s">
        <v>31</v>
      </c>
      <c r="M11" t="s">
        <v>18</v>
      </c>
      <c r="N11" t="s">
        <v>31</v>
      </c>
      <c r="O11" t="s">
        <v>19</v>
      </c>
      <c r="P11" t="s">
        <v>31</v>
      </c>
    </row>
    <row r="12" spans="2:16" x14ac:dyDescent="0.3">
      <c r="B12">
        <v>512</v>
      </c>
      <c r="C12">
        <v>1</v>
      </c>
      <c r="D12">
        <v>194.0069</v>
      </c>
      <c r="E12">
        <v>6.4668999999999999</v>
      </c>
      <c r="F12">
        <v>7731.68</v>
      </c>
      <c r="K12">
        <f>AVERAGE(D12:D14)</f>
        <v>203.58339999999998</v>
      </c>
      <c r="L12">
        <f>_xlfn.STDEV.P(D12,D13,D14)</f>
        <v>8.2760708153084384</v>
      </c>
      <c r="M12">
        <f>AVERAGE(E12:E14)</f>
        <v>6.7861333333333329</v>
      </c>
      <c r="N12">
        <f>_xlfn.STDEV.P(E12,E13,E14)</f>
        <v>0.27588101702646289</v>
      </c>
      <c r="O12">
        <f>AVERAGE(F12:F14)</f>
        <v>7380.1000000000013</v>
      </c>
      <c r="P12">
        <f>_xlfn.STDEV.P(F12,F13,F14)</f>
        <v>298.10575606653435</v>
      </c>
    </row>
    <row r="13" spans="2:16" x14ac:dyDescent="0.3">
      <c r="B13">
        <v>512</v>
      </c>
      <c r="C13">
        <v>2</v>
      </c>
      <c r="D13">
        <v>202.54429999999999</v>
      </c>
      <c r="E13">
        <v>6.7515000000000001</v>
      </c>
      <c r="F13">
        <v>7405.79</v>
      </c>
      <c r="K13" t="s">
        <v>26</v>
      </c>
    </row>
    <row r="14" spans="2:16" x14ac:dyDescent="0.3">
      <c r="B14">
        <v>512</v>
      </c>
      <c r="C14">
        <v>3</v>
      </c>
      <c r="D14">
        <v>214.19900000000001</v>
      </c>
      <c r="E14">
        <v>7.14</v>
      </c>
      <c r="F14">
        <v>7002.83</v>
      </c>
      <c r="K14" t="s">
        <v>17</v>
      </c>
      <c r="L14" t="s">
        <v>31</v>
      </c>
      <c r="M14" t="s">
        <v>18</v>
      </c>
      <c r="N14" t="s">
        <v>31</v>
      </c>
      <c r="O14" t="s">
        <v>19</v>
      </c>
      <c r="P14" t="s">
        <v>31</v>
      </c>
    </row>
    <row r="15" spans="2:16" x14ac:dyDescent="0.3">
      <c r="B15">
        <v>1024</v>
      </c>
      <c r="C15">
        <v>1</v>
      </c>
      <c r="D15">
        <v>213.9042</v>
      </c>
      <c r="E15">
        <v>7.1300999999999997</v>
      </c>
      <c r="F15">
        <v>7012.49</v>
      </c>
      <c r="K15">
        <f>AVERAGE(D15:D17)</f>
        <v>191.69883333333334</v>
      </c>
      <c r="L15">
        <f>_xlfn.STDEV.P(D15,D16,D17)</f>
        <v>15.717366494917506</v>
      </c>
      <c r="M15">
        <f>AVERAGE(E15:E17)</f>
        <v>6.3899333333333344</v>
      </c>
      <c r="N15">
        <f>_xlfn.STDEV.P(E15,E16,E17)</f>
        <v>0.52390303386112258</v>
      </c>
      <c r="O15">
        <f>AVERAGE(F15:F17)</f>
        <v>7874.84</v>
      </c>
      <c r="P15">
        <f>_xlfn.STDEV.P(F15,F16,F17)</f>
        <v>610.6338461522314</v>
      </c>
    </row>
    <row r="16" spans="2:16" x14ac:dyDescent="0.3">
      <c r="B16">
        <v>1024</v>
      </c>
      <c r="C16">
        <v>2</v>
      </c>
      <c r="D16">
        <v>179.73320000000001</v>
      </c>
      <c r="E16">
        <v>5.9911000000000003</v>
      </c>
      <c r="F16">
        <v>8345.7000000000007</v>
      </c>
      <c r="K16" t="s">
        <v>27</v>
      </c>
    </row>
    <row r="17" spans="2:16" x14ac:dyDescent="0.3">
      <c r="B17">
        <v>1024</v>
      </c>
      <c r="C17">
        <v>3</v>
      </c>
      <c r="D17">
        <v>181.45910000000001</v>
      </c>
      <c r="E17">
        <v>6.0486000000000004</v>
      </c>
      <c r="F17">
        <v>8266.33</v>
      </c>
      <c r="K17" t="s">
        <v>17</v>
      </c>
      <c r="L17" t="s">
        <v>31</v>
      </c>
      <c r="M17" t="s">
        <v>18</v>
      </c>
      <c r="N17" t="s">
        <v>31</v>
      </c>
      <c r="O17" t="s">
        <v>19</v>
      </c>
      <c r="P17" t="s">
        <v>31</v>
      </c>
    </row>
    <row r="18" spans="2:16" x14ac:dyDescent="0.3">
      <c r="B18">
        <v>2048</v>
      </c>
      <c r="C18">
        <v>1</v>
      </c>
      <c r="D18">
        <v>179.4631</v>
      </c>
      <c r="E18">
        <v>5.9821</v>
      </c>
      <c r="F18">
        <v>8358.26</v>
      </c>
      <c r="K18">
        <f>AVERAGE(D18:D20)</f>
        <v>182.38930000000002</v>
      </c>
      <c r="L18">
        <f>_xlfn.STDEV.P(D18,D19,D20)</f>
        <v>6.3517981616756929</v>
      </c>
      <c r="M18">
        <f>AVERAGE(E18:E20)</f>
        <v>6.0796333333333337</v>
      </c>
      <c r="N18">
        <f>_xlfn.STDEV.P(E18,E19,E20)</f>
        <v>0.21175080217610065</v>
      </c>
      <c r="O18">
        <f>AVERAGE(F18:F20)</f>
        <v>8233.9500000000007</v>
      </c>
      <c r="P18">
        <f>_xlfn.STDEV.P(F18,F19,F20)</f>
        <v>281.02568008398538</v>
      </c>
    </row>
    <row r="19" spans="2:16" x14ac:dyDescent="0.3">
      <c r="B19">
        <v>2048</v>
      </c>
      <c r="C19">
        <v>2</v>
      </c>
      <c r="D19">
        <v>176.4974</v>
      </c>
      <c r="E19">
        <v>5.8832000000000004</v>
      </c>
      <c r="F19">
        <v>8498.7099999999991</v>
      </c>
    </row>
    <row r="20" spans="2:16" x14ac:dyDescent="0.3">
      <c r="B20">
        <v>2048</v>
      </c>
      <c r="C20">
        <v>3</v>
      </c>
      <c r="D20">
        <v>191.20740000000001</v>
      </c>
      <c r="E20">
        <v>6.3735999999999997</v>
      </c>
      <c r="F20">
        <v>7844.88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36C9-20F4-43E5-B97D-C0F793820676}">
  <dimension ref="B1:P26"/>
  <sheetViews>
    <sheetView workbookViewId="0">
      <selection activeCell="K24" sqref="K24"/>
    </sheetView>
  </sheetViews>
  <sheetFormatPr defaultRowHeight="14.4" x14ac:dyDescent="0.3"/>
  <sheetData>
    <row r="1" spans="2:16" x14ac:dyDescent="0.3">
      <c r="B1" t="s">
        <v>7</v>
      </c>
      <c r="K1" t="s">
        <v>20</v>
      </c>
    </row>
    <row r="2" spans="2:1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K2" t="s">
        <v>17</v>
      </c>
      <c r="L2" t="s">
        <v>31</v>
      </c>
      <c r="M2" t="s">
        <v>18</v>
      </c>
      <c r="N2" t="s">
        <v>31</v>
      </c>
      <c r="O2" t="s">
        <v>19</v>
      </c>
      <c r="P2" t="s">
        <v>31</v>
      </c>
    </row>
    <row r="3" spans="2:16" x14ac:dyDescent="0.3">
      <c r="B3">
        <v>16</v>
      </c>
      <c r="C3">
        <v>1</v>
      </c>
      <c r="D3">
        <v>67.2012</v>
      </c>
      <c r="E3">
        <v>1.68</v>
      </c>
      <c r="F3">
        <v>1488.07</v>
      </c>
      <c r="K3">
        <f>AVERAGE(D3:D5)</f>
        <v>67.722433333333342</v>
      </c>
      <c r="L3">
        <f>_xlfn.STDEV.P(D3,D4,D5)</f>
        <v>0.51159674440802028</v>
      </c>
      <c r="M3">
        <f>AVERAGE(E3:E5)</f>
        <v>1.6930333333333334</v>
      </c>
      <c r="N3">
        <f>_xlfn.STDEV.P(E3,E4,E5)</f>
        <v>1.2783409386996684E-2</v>
      </c>
      <c r="O3">
        <f>AVERAGE(F3:F5)</f>
        <v>1476.6999999999998</v>
      </c>
      <c r="P3">
        <f>_xlfn.STDEV.P(F3,F4,F5)</f>
        <v>11.117904478812575</v>
      </c>
    </row>
    <row r="4" spans="2:16" x14ac:dyDescent="0.3">
      <c r="B4">
        <v>16</v>
      </c>
      <c r="C4">
        <v>2</v>
      </c>
      <c r="D4">
        <v>67.548500000000004</v>
      </c>
      <c r="E4">
        <v>1.6887000000000001</v>
      </c>
      <c r="F4">
        <v>1480.42</v>
      </c>
      <c r="K4" t="s">
        <v>21</v>
      </c>
    </row>
    <row r="5" spans="2:16" x14ac:dyDescent="0.3">
      <c r="B5">
        <v>16</v>
      </c>
      <c r="C5">
        <v>3</v>
      </c>
      <c r="D5">
        <v>68.417599999999993</v>
      </c>
      <c r="E5">
        <v>1.7103999999999999</v>
      </c>
      <c r="F5">
        <v>1461.61</v>
      </c>
      <c r="K5" t="s">
        <v>17</v>
      </c>
      <c r="L5" t="s">
        <v>31</v>
      </c>
      <c r="M5" t="s">
        <v>18</v>
      </c>
      <c r="N5" t="s">
        <v>31</v>
      </c>
      <c r="O5" t="s">
        <v>19</v>
      </c>
      <c r="P5" t="s">
        <v>31</v>
      </c>
    </row>
    <row r="6" spans="2:16" x14ac:dyDescent="0.3">
      <c r="B6">
        <v>32</v>
      </c>
      <c r="C6">
        <v>1</v>
      </c>
      <c r="D6">
        <v>47.6708</v>
      </c>
      <c r="E6">
        <v>1.1918</v>
      </c>
      <c r="F6">
        <v>2097.7199999999998</v>
      </c>
      <c r="K6">
        <f>AVERAGE(D6:D8)</f>
        <v>49.665366666666664</v>
      </c>
      <c r="L6">
        <f>_xlfn.STDEV.P(D6,D7,D8)</f>
        <v>1.6671530030430772</v>
      </c>
      <c r="M6">
        <f>AVERAGE(E6:E8)</f>
        <v>1.2416333333333334</v>
      </c>
      <c r="N6">
        <f>_xlfn.STDEV.P(E6,E7,E8)</f>
        <v>4.1673999354780257E-2</v>
      </c>
      <c r="O6">
        <f>AVERAGE(F6:F8)</f>
        <v>2015.7399999999998</v>
      </c>
      <c r="P6">
        <f>_xlfn.STDEV.P(F6,F7,F8)</f>
        <v>67.536133044960891</v>
      </c>
    </row>
    <row r="7" spans="2:16" x14ac:dyDescent="0.3">
      <c r="B7">
        <v>32</v>
      </c>
      <c r="C7">
        <v>2</v>
      </c>
      <c r="D7">
        <v>49.573900000000002</v>
      </c>
      <c r="E7">
        <v>1.2393000000000001</v>
      </c>
      <c r="F7">
        <v>2017.19</v>
      </c>
      <c r="K7" t="s">
        <v>22</v>
      </c>
    </row>
    <row r="8" spans="2:16" x14ac:dyDescent="0.3">
      <c r="B8">
        <v>32</v>
      </c>
      <c r="C8">
        <v>3</v>
      </c>
      <c r="D8">
        <v>51.751399999999997</v>
      </c>
      <c r="E8">
        <v>1.2938000000000001</v>
      </c>
      <c r="F8">
        <v>1932.31</v>
      </c>
      <c r="K8" t="s">
        <v>17</v>
      </c>
      <c r="L8" t="s">
        <v>31</v>
      </c>
      <c r="M8" t="s">
        <v>18</v>
      </c>
      <c r="N8" t="s">
        <v>31</v>
      </c>
      <c r="O8" t="s">
        <v>19</v>
      </c>
      <c r="P8" t="s">
        <v>31</v>
      </c>
    </row>
    <row r="9" spans="2:16" x14ac:dyDescent="0.3">
      <c r="B9">
        <v>64</v>
      </c>
      <c r="C9">
        <v>1</v>
      </c>
      <c r="D9">
        <v>42.4559</v>
      </c>
      <c r="E9">
        <v>1.0613999999999999</v>
      </c>
      <c r="F9">
        <v>2355.38</v>
      </c>
      <c r="K9">
        <f>AVERAGE(D9:D11)</f>
        <v>42.424066666666668</v>
      </c>
      <c r="L9">
        <f>_xlfn.STDEV.P(D9,D10,D11)</f>
        <v>3.7445456629907919E-2</v>
      </c>
      <c r="M9">
        <f>AVERAGE(E9:E11)</f>
        <v>1.0605999999999998</v>
      </c>
      <c r="N9">
        <f>_xlfn.STDEV.P(E9,E10,E11)</f>
        <v>9.2736184954957199E-4</v>
      </c>
      <c r="O9">
        <f>AVERAGE(F9:F11)</f>
        <v>2357.1533333333332</v>
      </c>
      <c r="P9">
        <f>_xlfn.STDEV.P(F9,F10,F11)</f>
        <v>2.0848874203551819</v>
      </c>
    </row>
    <row r="10" spans="2:16" x14ac:dyDescent="0.3">
      <c r="B10">
        <v>64</v>
      </c>
      <c r="C10">
        <v>2</v>
      </c>
      <c r="D10">
        <v>42.444800000000001</v>
      </c>
      <c r="E10">
        <v>1.0610999999999999</v>
      </c>
      <c r="F10">
        <v>2356</v>
      </c>
      <c r="K10" t="s">
        <v>23</v>
      </c>
    </row>
    <row r="11" spans="2:16" x14ac:dyDescent="0.3">
      <c r="B11">
        <v>64</v>
      </c>
      <c r="C11">
        <v>3</v>
      </c>
      <c r="D11">
        <v>42.371499999999997</v>
      </c>
      <c r="E11">
        <v>1.0592999999999999</v>
      </c>
      <c r="F11">
        <v>2360.08</v>
      </c>
      <c r="K11" t="s">
        <v>17</v>
      </c>
      <c r="L11" t="s">
        <v>31</v>
      </c>
      <c r="M11" t="s">
        <v>18</v>
      </c>
      <c r="N11" t="s">
        <v>31</v>
      </c>
      <c r="O11" t="s">
        <v>19</v>
      </c>
      <c r="P11" t="s">
        <v>31</v>
      </c>
    </row>
    <row r="12" spans="2:16" x14ac:dyDescent="0.3">
      <c r="B12">
        <v>128</v>
      </c>
      <c r="C12">
        <v>1</v>
      </c>
      <c r="D12">
        <v>38.278500000000001</v>
      </c>
      <c r="E12">
        <v>0.95699999999999996</v>
      </c>
      <c r="F12">
        <v>2612.4299999999998</v>
      </c>
      <c r="K12">
        <f>AVERAGE(D12:D14)</f>
        <v>38.891666666666666</v>
      </c>
      <c r="L12">
        <f>_xlfn.STDEV.P(D12,D13,D14)</f>
        <v>0.50750456374521435</v>
      </c>
      <c r="M12">
        <f>AVERAGE(E12:E14)</f>
        <v>0.97230000000000005</v>
      </c>
      <c r="N12">
        <f>_xlfn.STDEV.P(E12,E13,E14)</f>
        <v>1.2658857241736592E-2</v>
      </c>
      <c r="O12">
        <f>AVERAGE(F12:F14)</f>
        <v>2571.6800000000003</v>
      </c>
      <c r="P12">
        <f>_xlfn.STDEV.P(F12,F13,F14)</f>
        <v>33.540746364186006</v>
      </c>
    </row>
    <row r="13" spans="2:16" x14ac:dyDescent="0.3">
      <c r="B13">
        <v>128</v>
      </c>
      <c r="C13">
        <v>2</v>
      </c>
      <c r="D13">
        <v>38.8752</v>
      </c>
      <c r="E13">
        <v>0.97189999999999999</v>
      </c>
      <c r="F13">
        <v>2572.33</v>
      </c>
      <c r="K13" t="s">
        <v>24</v>
      </c>
    </row>
    <row r="14" spans="2:16" x14ac:dyDescent="0.3">
      <c r="B14">
        <v>128</v>
      </c>
      <c r="C14">
        <v>3</v>
      </c>
      <c r="D14">
        <v>39.521299999999997</v>
      </c>
      <c r="E14">
        <v>0.98799999999999999</v>
      </c>
      <c r="F14">
        <v>2530.2800000000002</v>
      </c>
      <c r="K14" t="s">
        <v>17</v>
      </c>
      <c r="L14" t="s">
        <v>31</v>
      </c>
      <c r="M14" t="s">
        <v>18</v>
      </c>
      <c r="N14" t="s">
        <v>31</v>
      </c>
      <c r="O14" t="s">
        <v>19</v>
      </c>
      <c r="P14" t="s">
        <v>31</v>
      </c>
    </row>
    <row r="15" spans="2:16" x14ac:dyDescent="0.3">
      <c r="B15">
        <v>256</v>
      </c>
      <c r="C15">
        <v>1</v>
      </c>
      <c r="D15">
        <v>34.488300000000002</v>
      </c>
      <c r="E15">
        <v>0.86219999999999997</v>
      </c>
      <c r="F15">
        <v>2899.54</v>
      </c>
      <c r="K15">
        <f>AVERAGE(D15:D17)</f>
        <v>34.531833333333331</v>
      </c>
      <c r="L15">
        <f>_xlfn.STDEV.P(D15,D16,D17)</f>
        <v>0.1135798495430516</v>
      </c>
      <c r="M15">
        <f>AVERAGE(E15:E17)</f>
        <v>0.86330000000000007</v>
      </c>
      <c r="N15">
        <f>_xlfn.STDEV.P(E15,E16,E17)</f>
        <v>2.8437065014987983E-3</v>
      </c>
      <c r="O15">
        <f>AVERAGE(F15:F17)</f>
        <v>2895.91</v>
      </c>
      <c r="P15">
        <f>_xlfn.STDEV.P(F15,F16,F17)</f>
        <v>9.5099561863693811</v>
      </c>
    </row>
    <row r="16" spans="2:16" x14ac:dyDescent="0.3">
      <c r="B16">
        <v>256</v>
      </c>
      <c r="C16">
        <v>2</v>
      </c>
      <c r="D16">
        <v>34.419699999999999</v>
      </c>
      <c r="E16">
        <v>0.86050000000000004</v>
      </c>
      <c r="F16">
        <v>2905.31</v>
      </c>
      <c r="K16" t="s">
        <v>25</v>
      </c>
    </row>
    <row r="17" spans="2:16" x14ac:dyDescent="0.3">
      <c r="B17">
        <v>256</v>
      </c>
      <c r="C17">
        <v>3</v>
      </c>
      <c r="D17">
        <v>34.6875</v>
      </c>
      <c r="E17">
        <v>0.86719999999999997</v>
      </c>
      <c r="F17">
        <v>2882.88</v>
      </c>
      <c r="K17" t="s">
        <v>17</v>
      </c>
      <c r="L17" t="s">
        <v>31</v>
      </c>
      <c r="M17" t="s">
        <v>18</v>
      </c>
      <c r="N17" t="s">
        <v>31</v>
      </c>
      <c r="O17" t="s">
        <v>19</v>
      </c>
      <c r="P17" t="s">
        <v>31</v>
      </c>
    </row>
    <row r="18" spans="2:16" x14ac:dyDescent="0.3">
      <c r="B18">
        <v>512</v>
      </c>
      <c r="C18">
        <v>1</v>
      </c>
      <c r="D18">
        <v>31.559100000000001</v>
      </c>
      <c r="E18">
        <v>0.78900000000000003</v>
      </c>
      <c r="F18">
        <v>3168.66</v>
      </c>
      <c r="K18">
        <f>AVERAGE(D18:D20)</f>
        <v>31.562566666666665</v>
      </c>
      <c r="L18">
        <f>_xlfn.STDEV.P(D18,D19,D20)</f>
        <v>3.5826743580111594E-3</v>
      </c>
      <c r="M18">
        <f>AVERAGE(E18:E20)</f>
        <v>0.78906666666666669</v>
      </c>
      <c r="N18">
        <f>_xlfn.STDEV.P(E18,E19,E20)</f>
        <v>9.4280904158195957E-5</v>
      </c>
      <c r="O18">
        <f>AVERAGE(F18:F20)</f>
        <v>3168.3066666666668</v>
      </c>
      <c r="P18">
        <f>_xlfn.STDEV.P(F18,F19,F20)</f>
        <v>0.36150918230226919</v>
      </c>
    </row>
    <row r="19" spans="2:16" x14ac:dyDescent="0.3">
      <c r="B19">
        <v>512</v>
      </c>
      <c r="C19">
        <v>2</v>
      </c>
      <c r="D19">
        <v>31.5611</v>
      </c>
      <c r="E19">
        <v>0.78900000000000003</v>
      </c>
      <c r="F19">
        <v>3168.45</v>
      </c>
      <c r="K19" t="s">
        <v>26</v>
      </c>
    </row>
    <row r="20" spans="2:16" x14ac:dyDescent="0.3">
      <c r="B20">
        <v>512</v>
      </c>
      <c r="C20">
        <v>3</v>
      </c>
      <c r="D20">
        <v>31.567499999999999</v>
      </c>
      <c r="E20">
        <v>0.78920000000000001</v>
      </c>
      <c r="F20">
        <v>3167.81</v>
      </c>
      <c r="K20" t="s">
        <v>17</v>
      </c>
      <c r="L20" t="s">
        <v>31</v>
      </c>
      <c r="M20" t="s">
        <v>18</v>
      </c>
      <c r="N20" t="s">
        <v>31</v>
      </c>
      <c r="O20" t="s">
        <v>19</v>
      </c>
      <c r="P20" t="s">
        <v>31</v>
      </c>
    </row>
    <row r="21" spans="2:16" x14ac:dyDescent="0.3">
      <c r="B21">
        <v>1024</v>
      </c>
      <c r="C21">
        <v>1</v>
      </c>
      <c r="D21">
        <v>31.5626</v>
      </c>
      <c r="E21">
        <v>0.78910000000000002</v>
      </c>
      <c r="F21">
        <v>3168.3</v>
      </c>
      <c r="K21">
        <f>AVERAGE(D21:D23)</f>
        <v>31.673500000000001</v>
      </c>
      <c r="L21">
        <f>_xlfn.STDEV.P(D21,D22,D23)</f>
        <v>9.7543870472043132E-2</v>
      </c>
      <c r="M21">
        <f>AVERAGE(E21:E23)</f>
        <v>0.79183333333333339</v>
      </c>
      <c r="N21">
        <f>_xlfn.STDEV.P(E21,E22,E23)</f>
        <v>2.4280765135299173E-3</v>
      </c>
      <c r="O21">
        <f>AVERAGE(F21:F23)</f>
        <v>3157.2433333333333</v>
      </c>
      <c r="P21">
        <f>_xlfn.STDEV.P(F21,F22,F23)</f>
        <v>9.7111768367977991</v>
      </c>
    </row>
    <row r="22" spans="2:16" x14ac:dyDescent="0.3">
      <c r="B22">
        <v>1024</v>
      </c>
      <c r="C22">
        <v>2</v>
      </c>
      <c r="D22">
        <v>31.657900000000001</v>
      </c>
      <c r="E22">
        <v>0.79139999999999999</v>
      </c>
      <c r="F22">
        <v>3158.77</v>
      </c>
      <c r="K22" t="s">
        <v>32</v>
      </c>
    </row>
    <row r="23" spans="2:16" x14ac:dyDescent="0.3">
      <c r="B23">
        <v>1024</v>
      </c>
      <c r="C23">
        <v>3</v>
      </c>
      <c r="D23">
        <v>31.8</v>
      </c>
      <c r="E23">
        <v>0.79500000000000004</v>
      </c>
      <c r="F23">
        <v>3144.66</v>
      </c>
      <c r="K23" t="s">
        <v>17</v>
      </c>
      <c r="L23" t="s">
        <v>31</v>
      </c>
      <c r="M23" t="s">
        <v>18</v>
      </c>
      <c r="N23" t="s">
        <v>31</v>
      </c>
      <c r="O23" t="s">
        <v>19</v>
      </c>
      <c r="P23" t="s">
        <v>31</v>
      </c>
    </row>
    <row r="24" spans="2:16" x14ac:dyDescent="0.3">
      <c r="B24">
        <v>2048</v>
      </c>
      <c r="C24">
        <v>1</v>
      </c>
      <c r="D24">
        <v>32.2029</v>
      </c>
      <c r="E24">
        <v>0.80510000000000004</v>
      </c>
      <c r="F24">
        <v>3105.31</v>
      </c>
      <c r="K24">
        <f>AVERAGE(D24:D26)</f>
        <v>32.308033333333327</v>
      </c>
      <c r="L24">
        <f>_xlfn.STDEV.P(D24,D25,D26)</f>
        <v>0.13519529906357305</v>
      </c>
      <c r="M24">
        <f>AVERAGE(E24:E26)</f>
        <v>0.8077333333333333</v>
      </c>
      <c r="N24">
        <f>_xlfn.STDEV.P(E24,E25,E26)</f>
        <v>3.3767176699010799E-3</v>
      </c>
      <c r="O24">
        <f>AVERAGE(F24:F26)</f>
        <v>3095.26</v>
      </c>
      <c r="P24">
        <f>_xlfn.STDEV.P(F24,F25,F26)</f>
        <v>12.913143175333579</v>
      </c>
    </row>
    <row r="25" spans="2:16" x14ac:dyDescent="0.3">
      <c r="B25">
        <v>2048</v>
      </c>
      <c r="C25">
        <v>2</v>
      </c>
      <c r="D25">
        <v>32.222299999999997</v>
      </c>
      <c r="E25">
        <v>0.80559999999999998</v>
      </c>
      <c r="F25">
        <v>3103.44</v>
      </c>
    </row>
    <row r="26" spans="2:16" x14ac:dyDescent="0.3">
      <c r="B26">
        <v>2048</v>
      </c>
      <c r="C26">
        <v>3</v>
      </c>
      <c r="D26">
        <v>32.498899999999999</v>
      </c>
      <c r="E26">
        <v>0.8125</v>
      </c>
      <c r="F26">
        <v>3077.03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FB72-A09D-490A-9F08-B90F547D1215}">
  <dimension ref="B1:P26"/>
  <sheetViews>
    <sheetView tabSelected="1" workbookViewId="0">
      <selection activeCell="P24" sqref="K1:P24"/>
    </sheetView>
  </sheetViews>
  <sheetFormatPr defaultRowHeight="14.4" x14ac:dyDescent="0.3"/>
  <sheetData>
    <row r="1" spans="2:16" x14ac:dyDescent="0.3">
      <c r="B1" t="s">
        <v>8</v>
      </c>
      <c r="K1" t="s">
        <v>20</v>
      </c>
    </row>
    <row r="2" spans="2:1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K2" t="s">
        <v>17</v>
      </c>
      <c r="L2" t="s">
        <v>31</v>
      </c>
      <c r="M2" t="s">
        <v>18</v>
      </c>
      <c r="N2" t="s">
        <v>31</v>
      </c>
      <c r="O2" t="s">
        <v>19</v>
      </c>
      <c r="P2" t="s">
        <v>31</v>
      </c>
    </row>
    <row r="3" spans="2:16" x14ac:dyDescent="0.3">
      <c r="B3">
        <v>16</v>
      </c>
      <c r="C3">
        <v>1</v>
      </c>
      <c r="D3">
        <v>67.385199999999998</v>
      </c>
      <c r="E3">
        <v>1.6846000000000001</v>
      </c>
      <c r="F3">
        <v>1484.01</v>
      </c>
      <c r="K3">
        <f>AVERAGE(D3:D5)</f>
        <v>68.918166666666664</v>
      </c>
      <c r="L3">
        <f>_xlfn.STDEV.P(D3,D4,D5)</f>
        <v>1.9603894856776671</v>
      </c>
      <c r="M3">
        <f>AVERAGE(E3:E5)</f>
        <v>1.7229333333333334</v>
      </c>
      <c r="N3">
        <f>_xlfn.STDEV.P(E3,E4,E5)</f>
        <v>4.9003968093297184E-2</v>
      </c>
      <c r="O3">
        <f>AVERAGE(F3:F5)</f>
        <v>1452.1499999999999</v>
      </c>
      <c r="P3">
        <f>_xlfn.STDEV.P(F3,F4,F5)</f>
        <v>40.506852095252562</v>
      </c>
    </row>
    <row r="4" spans="2:16" x14ac:dyDescent="0.3">
      <c r="B4">
        <v>16</v>
      </c>
      <c r="C4">
        <v>2</v>
      </c>
      <c r="D4">
        <v>67.684100000000001</v>
      </c>
      <c r="E4">
        <v>1.6920999999999999</v>
      </c>
      <c r="F4">
        <v>1477.45</v>
      </c>
      <c r="K4" t="s">
        <v>21</v>
      </c>
    </row>
    <row r="5" spans="2:16" x14ac:dyDescent="0.3">
      <c r="B5">
        <v>16</v>
      </c>
      <c r="C5">
        <v>3</v>
      </c>
      <c r="D5">
        <v>71.685199999999995</v>
      </c>
      <c r="E5">
        <v>1.7921</v>
      </c>
      <c r="F5">
        <v>1394.99</v>
      </c>
      <c r="K5" t="s">
        <v>17</v>
      </c>
      <c r="L5" t="s">
        <v>31</v>
      </c>
      <c r="M5" t="s">
        <v>18</v>
      </c>
      <c r="N5" t="s">
        <v>31</v>
      </c>
      <c r="O5" t="s">
        <v>19</v>
      </c>
      <c r="P5" t="s">
        <v>31</v>
      </c>
    </row>
    <row r="6" spans="2:16" x14ac:dyDescent="0.3">
      <c r="B6">
        <v>32</v>
      </c>
      <c r="C6">
        <v>1</v>
      </c>
      <c r="D6">
        <v>47.488900000000001</v>
      </c>
      <c r="E6">
        <v>1.1872</v>
      </c>
      <c r="F6">
        <v>2105.75</v>
      </c>
      <c r="K6">
        <f>AVERAGE(D6:D8)</f>
        <v>48.190133333333335</v>
      </c>
      <c r="L6">
        <f>_xlfn.STDEV.P(D6,D7,D8)</f>
        <v>0.96361781612606034</v>
      </c>
      <c r="M6">
        <f>AVERAGE(E6:E8)</f>
        <v>1.2047333333333334</v>
      </c>
      <c r="N6">
        <f>_xlfn.STDEV.P(E6,E7,E8)</f>
        <v>2.4092230190572928E-2</v>
      </c>
      <c r="O6">
        <f>AVERAGE(F6:F8)</f>
        <v>2075.9299999999998</v>
      </c>
      <c r="P6">
        <f>_xlfn.STDEV.P(F6,F7,F8)</f>
        <v>40.933647121489976</v>
      </c>
    </row>
    <row r="7" spans="2:16" x14ac:dyDescent="0.3">
      <c r="B7">
        <v>32</v>
      </c>
      <c r="C7">
        <v>2</v>
      </c>
      <c r="D7">
        <v>49.552700000000002</v>
      </c>
      <c r="E7">
        <v>1.2387999999999999</v>
      </c>
      <c r="F7">
        <v>2018.05</v>
      </c>
      <c r="K7" t="s">
        <v>22</v>
      </c>
    </row>
    <row r="8" spans="2:16" x14ac:dyDescent="0.3">
      <c r="B8">
        <v>32</v>
      </c>
      <c r="C8">
        <v>3</v>
      </c>
      <c r="D8">
        <v>47.528799999999997</v>
      </c>
      <c r="E8">
        <v>1.1881999999999999</v>
      </c>
      <c r="F8">
        <v>2103.9899999999998</v>
      </c>
      <c r="K8" t="s">
        <v>17</v>
      </c>
      <c r="L8" t="s">
        <v>31</v>
      </c>
      <c r="M8" t="s">
        <v>18</v>
      </c>
      <c r="N8" t="s">
        <v>31</v>
      </c>
      <c r="O8" t="s">
        <v>19</v>
      </c>
      <c r="P8" t="s">
        <v>31</v>
      </c>
    </row>
    <row r="9" spans="2:16" x14ac:dyDescent="0.3">
      <c r="B9">
        <v>64</v>
      </c>
      <c r="C9">
        <v>1</v>
      </c>
      <c r="D9">
        <v>38.356900000000003</v>
      </c>
      <c r="E9">
        <v>0.95889999999999997</v>
      </c>
      <c r="F9">
        <v>2607.1</v>
      </c>
      <c r="K9">
        <f>AVERAGE(D9:D11)</f>
        <v>38.194333333333333</v>
      </c>
      <c r="L9">
        <f>_xlfn.STDEV.P(D9,D10,D11)</f>
        <v>0.15043550851518642</v>
      </c>
      <c r="M9">
        <f>AVERAGE(E9:E11)</f>
        <v>0.95486666666666664</v>
      </c>
      <c r="N9">
        <f>_xlfn.STDEV.P(E9,E10,E11)</f>
        <v>3.7330357024217688E-3</v>
      </c>
      <c r="O9">
        <f>AVERAGE(F9:F11)</f>
        <v>2618.2333333333331</v>
      </c>
      <c r="P9">
        <f>_xlfn.STDEV.P(F9,F10,F11)</f>
        <v>10.323944121421</v>
      </c>
    </row>
    <row r="10" spans="2:16" x14ac:dyDescent="0.3">
      <c r="B10">
        <v>64</v>
      </c>
      <c r="C10">
        <v>2</v>
      </c>
      <c r="D10">
        <v>37.994199999999999</v>
      </c>
      <c r="E10">
        <v>0.94989999999999997</v>
      </c>
      <c r="F10">
        <v>2631.98</v>
      </c>
      <c r="K10" t="s">
        <v>23</v>
      </c>
    </row>
    <row r="11" spans="2:16" x14ac:dyDescent="0.3">
      <c r="B11">
        <v>64</v>
      </c>
      <c r="C11">
        <v>3</v>
      </c>
      <c r="D11">
        <v>38.231900000000003</v>
      </c>
      <c r="E11">
        <v>0.95579999999999998</v>
      </c>
      <c r="F11">
        <v>2615.62</v>
      </c>
      <c r="K11" t="s">
        <v>17</v>
      </c>
      <c r="L11" t="s">
        <v>31</v>
      </c>
      <c r="M11" t="s">
        <v>18</v>
      </c>
      <c r="N11" t="s">
        <v>31</v>
      </c>
      <c r="O11" t="s">
        <v>19</v>
      </c>
      <c r="P11" t="s">
        <v>31</v>
      </c>
    </row>
    <row r="12" spans="2:16" x14ac:dyDescent="0.3">
      <c r="B12">
        <v>128</v>
      </c>
      <c r="C12">
        <v>1</v>
      </c>
      <c r="D12">
        <v>34.013100000000001</v>
      </c>
      <c r="E12">
        <v>0.85029999999999994</v>
      </c>
      <c r="F12">
        <v>2940.05</v>
      </c>
      <c r="K12">
        <f>AVERAGE(D12:D14)</f>
        <v>34.417566666666666</v>
      </c>
      <c r="L12">
        <f>_xlfn.STDEV.P(D12,D13,D14)</f>
        <v>0.46329826485993075</v>
      </c>
      <c r="M12">
        <f>AVERAGE(E12:E14)</f>
        <v>0.86043333333333327</v>
      </c>
      <c r="N12">
        <f>_xlfn.STDEV.P(E12,E13,E14)</f>
        <v>1.1617611152422422E-2</v>
      </c>
      <c r="O12">
        <f>AVERAGE(F12:F14)</f>
        <v>2906.0166666666664</v>
      </c>
      <c r="P12">
        <f>_xlfn.STDEV.P(F12,F13,F14)</f>
        <v>38.7837021899091</v>
      </c>
    </row>
    <row r="13" spans="2:16" x14ac:dyDescent="0.3">
      <c r="B13">
        <v>128</v>
      </c>
      <c r="C13">
        <v>2</v>
      </c>
      <c r="D13">
        <v>34.173400000000001</v>
      </c>
      <c r="E13">
        <v>0.85429999999999995</v>
      </c>
      <c r="F13">
        <v>2926.25</v>
      </c>
      <c r="K13" t="s">
        <v>24</v>
      </c>
    </row>
    <row r="14" spans="2:16" x14ac:dyDescent="0.3">
      <c r="B14">
        <v>128</v>
      </c>
      <c r="C14">
        <v>3</v>
      </c>
      <c r="D14">
        <v>35.066200000000002</v>
      </c>
      <c r="E14">
        <v>0.87670000000000003</v>
      </c>
      <c r="F14">
        <v>2851.75</v>
      </c>
      <c r="K14" t="s">
        <v>17</v>
      </c>
      <c r="L14" t="s">
        <v>31</v>
      </c>
      <c r="M14" t="s">
        <v>18</v>
      </c>
      <c r="N14" t="s">
        <v>31</v>
      </c>
      <c r="O14" t="s">
        <v>19</v>
      </c>
      <c r="P14" t="s">
        <v>31</v>
      </c>
    </row>
    <row r="15" spans="2:16" x14ac:dyDescent="0.3">
      <c r="B15">
        <v>256</v>
      </c>
      <c r="C15">
        <v>1</v>
      </c>
      <c r="D15">
        <v>31.383199999999999</v>
      </c>
      <c r="E15">
        <v>0.78459999999999996</v>
      </c>
      <c r="F15">
        <v>3186.42</v>
      </c>
      <c r="K15">
        <f>AVERAGE(D15:D17)</f>
        <v>31.509866666666667</v>
      </c>
      <c r="L15">
        <f>_xlfn.STDEV.P(D15,D16,D17)</f>
        <v>9.1936548167141002E-2</v>
      </c>
      <c r="M15">
        <f>AVERAGE(E15:E17)</f>
        <v>0.78776666666666662</v>
      </c>
      <c r="N15">
        <f>_xlfn.STDEV.P(E15,E16,E17)</f>
        <v>2.3012074125457827E-3</v>
      </c>
      <c r="O15">
        <f>AVERAGE(F15:F17)</f>
        <v>3173.64</v>
      </c>
      <c r="P15">
        <f>_xlfn.STDEV.P(F15,F16,F17)</f>
        <v>9.273575362286179</v>
      </c>
    </row>
    <row r="16" spans="2:16" x14ac:dyDescent="0.3">
      <c r="B16">
        <v>256</v>
      </c>
      <c r="C16">
        <v>2</v>
      </c>
      <c r="D16">
        <v>31.547799999999999</v>
      </c>
      <c r="E16">
        <v>0.78869999999999996</v>
      </c>
      <c r="F16">
        <v>3169.8</v>
      </c>
      <c r="K16" t="s">
        <v>25</v>
      </c>
    </row>
    <row r="17" spans="2:16" x14ac:dyDescent="0.3">
      <c r="B17">
        <v>256</v>
      </c>
      <c r="C17">
        <v>3</v>
      </c>
      <c r="D17">
        <v>31.598600000000001</v>
      </c>
      <c r="E17">
        <v>0.79</v>
      </c>
      <c r="F17">
        <v>3164.7</v>
      </c>
      <c r="K17" t="s">
        <v>17</v>
      </c>
      <c r="L17" t="s">
        <v>31</v>
      </c>
      <c r="M17" t="s">
        <v>18</v>
      </c>
      <c r="N17" t="s">
        <v>31</v>
      </c>
      <c r="O17" t="s">
        <v>19</v>
      </c>
      <c r="P17" t="s">
        <v>31</v>
      </c>
    </row>
    <row r="18" spans="2:16" x14ac:dyDescent="0.3">
      <c r="B18">
        <v>512</v>
      </c>
      <c r="C18">
        <v>1</v>
      </c>
      <c r="D18">
        <v>28.923200000000001</v>
      </c>
      <c r="E18">
        <v>0.72309999999999997</v>
      </c>
      <c r="F18">
        <v>3457.43</v>
      </c>
      <c r="K18">
        <f>AVERAGE(D18:D20)</f>
        <v>29.196100000000001</v>
      </c>
      <c r="L18">
        <f>_xlfn.STDEV.P(D18,D19,D20)</f>
        <v>0.26787411222437935</v>
      </c>
      <c r="M18">
        <f>AVERAGE(E18:E20)</f>
        <v>0.72989999999999988</v>
      </c>
      <c r="N18">
        <f>_xlfn.STDEV.P(E18,E19,E20)</f>
        <v>6.6917860097286484E-3</v>
      </c>
      <c r="O18">
        <f>AVERAGE(F18:F20)</f>
        <v>3425.4</v>
      </c>
      <c r="P18">
        <f>_xlfn.STDEV.P(F18,F19,F20)</f>
        <v>31.297579246112132</v>
      </c>
    </row>
    <row r="19" spans="2:16" x14ac:dyDescent="0.3">
      <c r="B19">
        <v>512</v>
      </c>
      <c r="C19">
        <v>2</v>
      </c>
      <c r="D19">
        <v>29.105</v>
      </c>
      <c r="E19">
        <v>0.72760000000000002</v>
      </c>
      <c r="F19">
        <v>3435.84</v>
      </c>
      <c r="K19" t="s">
        <v>26</v>
      </c>
    </row>
    <row r="20" spans="2:16" x14ac:dyDescent="0.3">
      <c r="B20">
        <v>512</v>
      </c>
      <c r="C20">
        <v>3</v>
      </c>
      <c r="D20">
        <v>29.560099999999998</v>
      </c>
      <c r="E20">
        <v>0.73899999999999999</v>
      </c>
      <c r="F20">
        <v>3382.93</v>
      </c>
      <c r="K20" t="s">
        <v>17</v>
      </c>
      <c r="L20" t="s">
        <v>31</v>
      </c>
      <c r="M20" t="s">
        <v>18</v>
      </c>
      <c r="N20" t="s">
        <v>31</v>
      </c>
      <c r="O20" t="s">
        <v>19</v>
      </c>
      <c r="P20" t="s">
        <v>31</v>
      </c>
    </row>
    <row r="21" spans="2:16" x14ac:dyDescent="0.3">
      <c r="B21">
        <v>1024</v>
      </c>
      <c r="C21">
        <v>1</v>
      </c>
      <c r="D21">
        <v>29.279399999999999</v>
      </c>
      <c r="E21">
        <v>0.73199999999999998</v>
      </c>
      <c r="F21">
        <v>3415.38</v>
      </c>
      <c r="K21">
        <f>AVERAGE(D21:D23)</f>
        <v>29.345600000000001</v>
      </c>
      <c r="L21">
        <f>_xlfn.STDEV.P(D21,D22,D23)</f>
        <v>5.7883330933871498E-2</v>
      </c>
      <c r="M21">
        <f>AVERAGE(E21:E23)</f>
        <v>0.73363333333333325</v>
      </c>
      <c r="N21">
        <f>_xlfn.STDEV.P(E21,E22,E23)</f>
        <v>1.4383632673594497E-3</v>
      </c>
      <c r="O21">
        <f>AVERAGE(F21:F23)</f>
        <v>3407.686666666667</v>
      </c>
      <c r="P21">
        <f>_xlfn.STDEV.P(F21,F22,F23)</f>
        <v>6.7190988152346911</v>
      </c>
    </row>
    <row r="22" spans="2:16" x14ac:dyDescent="0.3">
      <c r="B22">
        <v>1024</v>
      </c>
      <c r="C22">
        <v>2</v>
      </c>
      <c r="D22">
        <v>29.337</v>
      </c>
      <c r="E22">
        <v>0.73340000000000005</v>
      </c>
      <c r="F22">
        <v>3408.67</v>
      </c>
      <c r="K22" t="s">
        <v>27</v>
      </c>
    </row>
    <row r="23" spans="2:16" x14ac:dyDescent="0.3">
      <c r="B23">
        <v>1024</v>
      </c>
      <c r="C23">
        <v>3</v>
      </c>
      <c r="D23">
        <v>29.420400000000001</v>
      </c>
      <c r="E23">
        <v>0.73550000000000004</v>
      </c>
      <c r="F23">
        <v>3399.01</v>
      </c>
      <c r="K23" t="s">
        <v>17</v>
      </c>
      <c r="L23" t="s">
        <v>31</v>
      </c>
      <c r="M23" t="s">
        <v>18</v>
      </c>
      <c r="N23" t="s">
        <v>31</v>
      </c>
      <c r="O23" t="s">
        <v>19</v>
      </c>
      <c r="P23" t="s">
        <v>31</v>
      </c>
    </row>
    <row r="24" spans="2:16" x14ac:dyDescent="0.3">
      <c r="B24">
        <v>2048</v>
      </c>
      <c r="C24">
        <v>1</v>
      </c>
      <c r="D24">
        <v>29.976900000000001</v>
      </c>
      <c r="E24">
        <v>0.74939999999999996</v>
      </c>
      <c r="F24">
        <v>3335.9</v>
      </c>
      <c r="K24">
        <f>AVERAGE(D24:D26)</f>
        <v>29.950366666666667</v>
      </c>
      <c r="L24">
        <f>_xlfn.STDEV.P(D24,D25,D26)</f>
        <v>0.21441793042767851</v>
      </c>
      <c r="M24">
        <f>AVERAGE(E24:E26)</f>
        <v>0.74876666666666658</v>
      </c>
      <c r="N24">
        <f>_xlfn.STDEV.P(E24,E25,E26)</f>
        <v>5.366770185337006E-3</v>
      </c>
      <c r="O24">
        <f>AVERAGE(F24:F26)</f>
        <v>3339.03</v>
      </c>
      <c r="P24">
        <f>_xlfn.STDEV.P(F24,F25,F26)</f>
        <v>23.940143413661165</v>
      </c>
    </row>
    <row r="25" spans="2:16" x14ac:dyDescent="0.3">
      <c r="B25">
        <v>2048</v>
      </c>
      <c r="C25">
        <v>2</v>
      </c>
      <c r="D25">
        <v>29.6755</v>
      </c>
      <c r="E25">
        <v>0.7419</v>
      </c>
      <c r="F25">
        <v>3369.79</v>
      </c>
    </row>
    <row r="26" spans="2:16" x14ac:dyDescent="0.3">
      <c r="B26">
        <v>2048</v>
      </c>
      <c r="C26">
        <v>3</v>
      </c>
      <c r="D26">
        <v>30.198699999999999</v>
      </c>
      <c r="E26">
        <v>0.755</v>
      </c>
      <c r="F26">
        <v>3311.4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2AEE-4D39-4248-8A23-D9302ECB4B30}">
  <dimension ref="B1:P29"/>
  <sheetViews>
    <sheetView topLeftCell="A7" workbookViewId="0">
      <selection activeCell="P28" sqref="K1:P28"/>
    </sheetView>
  </sheetViews>
  <sheetFormatPr defaultRowHeight="14.4" x14ac:dyDescent="0.3"/>
  <sheetData>
    <row r="1" spans="2:16" x14ac:dyDescent="0.3">
      <c r="B1" t="s">
        <v>9</v>
      </c>
      <c r="K1" t="s">
        <v>22</v>
      </c>
    </row>
    <row r="2" spans="2:1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K2" t="s">
        <v>17</v>
      </c>
      <c r="L2" t="s">
        <v>31</v>
      </c>
      <c r="M2" t="s">
        <v>18</v>
      </c>
      <c r="N2" t="s">
        <v>31</v>
      </c>
      <c r="O2" t="s">
        <v>19</v>
      </c>
      <c r="P2" t="s">
        <v>31</v>
      </c>
    </row>
    <row r="3" spans="2:16" x14ac:dyDescent="0.3">
      <c r="B3">
        <v>64</v>
      </c>
      <c r="C3">
        <v>1</v>
      </c>
      <c r="D3">
        <v>51.969499999999996</v>
      </c>
      <c r="E3">
        <v>12.9924</v>
      </c>
      <c r="F3">
        <v>3848.41</v>
      </c>
      <c r="K3">
        <f>AVERAGE(D3:D5)</f>
        <v>52.174833333333332</v>
      </c>
      <c r="L3">
        <f>_xlfn.STDEV.P(D3,D4,D5)</f>
        <v>0.14922505002698402</v>
      </c>
      <c r="M3">
        <f>AVERAGE(E3:E5)</f>
        <v>13.043700000000001</v>
      </c>
      <c r="N3">
        <f>_xlfn.STDEV.P(E3,E4,E5)</f>
        <v>3.7283329608105993E-2</v>
      </c>
      <c r="O3">
        <f>AVERAGE(F3:F5)</f>
        <v>3833.2966666666666</v>
      </c>
      <c r="P3">
        <f>_xlfn.STDEV.P(F3,F4,F5)</f>
        <v>10.980520125304643</v>
      </c>
    </row>
    <row r="4" spans="2:16" x14ac:dyDescent="0.3">
      <c r="B4">
        <v>64</v>
      </c>
      <c r="C4">
        <v>2</v>
      </c>
      <c r="D4">
        <v>52.235300000000002</v>
      </c>
      <c r="E4">
        <v>13.0588</v>
      </c>
      <c r="F4">
        <v>3828.83</v>
      </c>
      <c r="K4" t="s">
        <v>23</v>
      </c>
    </row>
    <row r="5" spans="2:16" x14ac:dyDescent="0.3">
      <c r="B5">
        <v>64</v>
      </c>
      <c r="C5">
        <v>3</v>
      </c>
      <c r="D5">
        <v>52.319699999999997</v>
      </c>
      <c r="E5">
        <v>13.0799</v>
      </c>
      <c r="F5">
        <v>3822.65</v>
      </c>
      <c r="K5" t="s">
        <v>17</v>
      </c>
      <c r="L5" t="s">
        <v>31</v>
      </c>
      <c r="M5" t="s">
        <v>18</v>
      </c>
      <c r="N5" t="s">
        <v>31</v>
      </c>
      <c r="O5" t="s">
        <v>19</v>
      </c>
      <c r="P5" t="s">
        <v>31</v>
      </c>
    </row>
    <row r="6" spans="2:16" x14ac:dyDescent="0.3">
      <c r="B6">
        <v>128</v>
      </c>
      <c r="C6">
        <v>1</v>
      </c>
      <c r="D6">
        <v>27.6416</v>
      </c>
      <c r="E6">
        <v>6.9104000000000001</v>
      </c>
      <c r="F6">
        <v>7235.47</v>
      </c>
      <c r="K6">
        <f>AVERAGE(D6:D8)</f>
        <v>27.797299999999996</v>
      </c>
      <c r="L6">
        <f>_xlfn.STDEV.P(D6,D7,D8)</f>
        <v>0.13455960265498157</v>
      </c>
      <c r="M6">
        <f>AVERAGE(E6:E8)</f>
        <v>6.9493333333333327</v>
      </c>
      <c r="N6">
        <f>_xlfn.STDEV.P(E6,E7,E8)</f>
        <v>3.3650590221008178E-2</v>
      </c>
      <c r="O6">
        <f>AVERAGE(F6:F8)</f>
        <v>7195.1100000000006</v>
      </c>
      <c r="P6">
        <f>_xlfn.STDEV.P(F6,F7,F8)</f>
        <v>34.800089080345856</v>
      </c>
    </row>
    <row r="7" spans="2:16" x14ac:dyDescent="0.3">
      <c r="B7">
        <v>128</v>
      </c>
      <c r="C7">
        <v>2</v>
      </c>
      <c r="D7">
        <v>27.7804</v>
      </c>
      <c r="E7">
        <v>6.9451000000000001</v>
      </c>
      <c r="F7">
        <v>7199.32</v>
      </c>
      <c r="K7" t="s">
        <v>24</v>
      </c>
    </row>
    <row r="8" spans="2:16" x14ac:dyDescent="0.3">
      <c r="B8">
        <v>128</v>
      </c>
      <c r="C8">
        <v>3</v>
      </c>
      <c r="D8">
        <v>27.969899999999999</v>
      </c>
      <c r="E8">
        <v>6.9924999999999997</v>
      </c>
      <c r="F8">
        <v>7150.54</v>
      </c>
      <c r="K8" t="s">
        <v>17</v>
      </c>
      <c r="L8" t="s">
        <v>31</v>
      </c>
      <c r="M8" t="s">
        <v>18</v>
      </c>
      <c r="N8" t="s">
        <v>31</v>
      </c>
      <c r="O8" t="s">
        <v>19</v>
      </c>
      <c r="P8" t="s">
        <v>31</v>
      </c>
    </row>
    <row r="9" spans="2:16" x14ac:dyDescent="0.3">
      <c r="B9">
        <v>256</v>
      </c>
      <c r="C9">
        <v>1</v>
      </c>
      <c r="D9">
        <v>18.8749</v>
      </c>
      <c r="E9">
        <v>4.7187000000000001</v>
      </c>
      <c r="F9">
        <v>10596.06</v>
      </c>
      <c r="K9">
        <f>AVERAGE(D9:D11)</f>
        <v>18.904300000000003</v>
      </c>
      <c r="L9">
        <f>_xlfn.STDEV.P(D9,D10,D11)</f>
        <v>2.2425580631651065E-2</v>
      </c>
      <c r="M9">
        <f>AVERAGE(E9:E11)</f>
        <v>4.7260666666666671</v>
      </c>
      <c r="N9">
        <f>_xlfn.STDEV.P(E9,E10,E11)</f>
        <v>5.6097137974133616E-3</v>
      </c>
      <c r="O9">
        <f>AVERAGE(F9:F11)</f>
        <v>10579.603333333333</v>
      </c>
      <c r="P9">
        <f>_xlfn.STDEV.P(F9,F10,F11)</f>
        <v>12.552599553699842</v>
      </c>
    </row>
    <row r="10" spans="2:16" x14ac:dyDescent="0.3">
      <c r="B10">
        <v>256</v>
      </c>
      <c r="C10">
        <v>2</v>
      </c>
      <c r="D10">
        <v>18.9087</v>
      </c>
      <c r="E10">
        <v>4.7271999999999998</v>
      </c>
      <c r="F10">
        <v>10577.14</v>
      </c>
      <c r="K10" t="s">
        <v>25</v>
      </c>
    </row>
    <row r="11" spans="2:16" x14ac:dyDescent="0.3">
      <c r="B11">
        <v>256</v>
      </c>
      <c r="C11">
        <v>3</v>
      </c>
      <c r="D11">
        <v>18.929300000000001</v>
      </c>
      <c r="E11">
        <v>4.7323000000000004</v>
      </c>
      <c r="F11">
        <v>10565.61</v>
      </c>
      <c r="K11" t="s">
        <v>17</v>
      </c>
      <c r="L11" t="s">
        <v>31</v>
      </c>
      <c r="M11" t="s">
        <v>18</v>
      </c>
      <c r="N11" t="s">
        <v>31</v>
      </c>
      <c r="O11" t="s">
        <v>19</v>
      </c>
      <c r="P11" t="s">
        <v>31</v>
      </c>
    </row>
    <row r="12" spans="2:16" x14ac:dyDescent="0.3">
      <c r="B12">
        <v>512</v>
      </c>
      <c r="C12">
        <v>1</v>
      </c>
      <c r="D12">
        <v>15.952999999999999</v>
      </c>
      <c r="E12">
        <v>3.9883000000000002</v>
      </c>
      <c r="F12">
        <v>12536.82</v>
      </c>
      <c r="K12">
        <f>AVERAGE(D12:D14)</f>
        <v>16.046166666666668</v>
      </c>
      <c r="L12">
        <f>_xlfn.STDEV.P(D12,D13,D14)</f>
        <v>0.12872897455075549</v>
      </c>
      <c r="M12">
        <f>AVERAGE(E12:E14)</f>
        <v>4.0115333333333334</v>
      </c>
      <c r="N12">
        <f>_xlfn.STDEV.P(E12,E13,E14)</f>
        <v>3.2152380247122657E-2</v>
      </c>
      <c r="O12">
        <f>AVERAGE(F12:F14)</f>
        <v>12464.840000000002</v>
      </c>
      <c r="P12">
        <f>_xlfn.STDEV.P(F12,F13,F14)</f>
        <v>99.421661958884428</v>
      </c>
    </row>
    <row r="13" spans="2:16" x14ac:dyDescent="0.3">
      <c r="B13">
        <v>512</v>
      </c>
      <c r="C13">
        <v>2</v>
      </c>
      <c r="D13">
        <v>15.9573</v>
      </c>
      <c r="E13">
        <v>3.9893000000000001</v>
      </c>
      <c r="F13">
        <v>12533.45</v>
      </c>
      <c r="K13" t="s">
        <v>26</v>
      </c>
    </row>
    <row r="14" spans="2:16" x14ac:dyDescent="0.3">
      <c r="B14">
        <v>512</v>
      </c>
      <c r="C14">
        <v>3</v>
      </c>
      <c r="D14">
        <v>16.228200000000001</v>
      </c>
      <c r="E14">
        <v>4.0570000000000004</v>
      </c>
      <c r="F14">
        <v>12324.25</v>
      </c>
      <c r="K14" t="s">
        <v>17</v>
      </c>
      <c r="L14" t="s">
        <v>31</v>
      </c>
      <c r="M14" t="s">
        <v>18</v>
      </c>
      <c r="N14" t="s">
        <v>31</v>
      </c>
      <c r="O14" t="s">
        <v>19</v>
      </c>
      <c r="P14" t="s">
        <v>31</v>
      </c>
    </row>
    <row r="15" spans="2:16" x14ac:dyDescent="0.3">
      <c r="B15">
        <v>1024</v>
      </c>
      <c r="C15">
        <v>1</v>
      </c>
      <c r="D15">
        <v>14.8956</v>
      </c>
      <c r="E15">
        <v>3.7239</v>
      </c>
      <c r="F15">
        <v>13426.78</v>
      </c>
      <c r="K15">
        <f>AVERAGE(D15:D17)</f>
        <v>14.9741</v>
      </c>
      <c r="L15">
        <f>_xlfn.STDEV.P(D15,D16,D17)</f>
        <v>9.856216312561282E-2</v>
      </c>
      <c r="M15">
        <f>AVERAGE(E15:E17)</f>
        <v>3.7435333333333336</v>
      </c>
      <c r="N15">
        <f>_xlfn.STDEV.P(E15,E16,E17)</f>
        <v>2.4652293109476836E-2</v>
      </c>
      <c r="O15">
        <f>AVERAGE(F15:F17)</f>
        <v>13356.963333333333</v>
      </c>
      <c r="P15">
        <f>_xlfn.STDEV.P(F15,F16,F17)</f>
        <v>87.524017402208912</v>
      </c>
    </row>
    <row r="16" spans="2:16" x14ac:dyDescent="0.3">
      <c r="B16">
        <v>1024</v>
      </c>
      <c r="C16">
        <v>2</v>
      </c>
      <c r="D16">
        <v>15.113099999999999</v>
      </c>
      <c r="E16">
        <v>3.7783000000000002</v>
      </c>
      <c r="F16">
        <v>13233.54</v>
      </c>
      <c r="K16" t="s">
        <v>27</v>
      </c>
    </row>
    <row r="17" spans="2:16" x14ac:dyDescent="0.3">
      <c r="B17">
        <v>1024</v>
      </c>
      <c r="C17">
        <v>3</v>
      </c>
      <c r="D17">
        <v>14.913600000000001</v>
      </c>
      <c r="E17">
        <v>3.7284000000000002</v>
      </c>
      <c r="F17">
        <v>13410.57</v>
      </c>
      <c r="K17" t="s">
        <v>17</v>
      </c>
      <c r="L17" t="s">
        <v>31</v>
      </c>
      <c r="M17" t="s">
        <v>18</v>
      </c>
      <c r="N17" t="s">
        <v>31</v>
      </c>
      <c r="O17" t="s">
        <v>19</v>
      </c>
      <c r="P17" t="s">
        <v>31</v>
      </c>
    </row>
    <row r="18" spans="2:16" x14ac:dyDescent="0.3">
      <c r="B18">
        <v>2048</v>
      </c>
      <c r="C18">
        <v>1</v>
      </c>
      <c r="D18">
        <v>14.927300000000001</v>
      </c>
      <c r="E18">
        <v>3.7317999999999998</v>
      </c>
      <c r="F18">
        <v>13398.27</v>
      </c>
      <c r="K18">
        <f>AVERAGE(D18:D20)</f>
        <v>14.8155</v>
      </c>
      <c r="L18">
        <f>_xlfn.STDEV.P(D18,D19,D20)</f>
        <v>9.2237627896645746E-2</v>
      </c>
      <c r="M18">
        <f>AVERAGE(E18:E20)</f>
        <v>3.7038666666666664</v>
      </c>
      <c r="N18">
        <f>_xlfn.STDEV.P(E18,E19,E20)</f>
        <v>2.3070375424388265E-2</v>
      </c>
      <c r="O18">
        <f>AVERAGE(F18:F20)</f>
        <v>13499.9</v>
      </c>
      <c r="P18">
        <f>_xlfn.STDEV.P(F18,F19,F20)</f>
        <v>84.0832876775561</v>
      </c>
    </row>
    <row r="19" spans="2:16" x14ac:dyDescent="0.3">
      <c r="B19">
        <v>2048</v>
      </c>
      <c r="C19">
        <v>2</v>
      </c>
      <c r="D19">
        <v>14.8178</v>
      </c>
      <c r="E19">
        <v>3.7044999999999999</v>
      </c>
      <c r="F19">
        <v>13497.25</v>
      </c>
      <c r="K19" t="s">
        <v>28</v>
      </c>
    </row>
    <row r="20" spans="2:16" x14ac:dyDescent="0.3">
      <c r="B20">
        <v>2048</v>
      </c>
      <c r="C20">
        <v>3</v>
      </c>
      <c r="D20">
        <v>14.7014</v>
      </c>
      <c r="E20">
        <v>3.6753</v>
      </c>
      <c r="F20">
        <v>13604.18</v>
      </c>
      <c r="K20" t="s">
        <v>17</v>
      </c>
      <c r="L20" t="s">
        <v>31</v>
      </c>
      <c r="M20" t="s">
        <v>18</v>
      </c>
      <c r="N20" t="s">
        <v>31</v>
      </c>
      <c r="O20" t="s">
        <v>19</v>
      </c>
      <c r="P20" t="s">
        <v>31</v>
      </c>
    </row>
    <row r="21" spans="2:16" x14ac:dyDescent="0.3">
      <c r="B21">
        <v>4096</v>
      </c>
      <c r="C21">
        <v>1</v>
      </c>
      <c r="D21">
        <v>14.7342</v>
      </c>
      <c r="E21">
        <v>3.6835</v>
      </c>
      <c r="F21">
        <v>13573.87</v>
      </c>
      <c r="K21">
        <f>AVERAGE(D21:D23)</f>
        <v>14.7173</v>
      </c>
      <c r="L21">
        <f>_xlfn.STDEV.P(D21,D22,D23)</f>
        <v>3.2753931061782406E-2</v>
      </c>
      <c r="M21">
        <f>AVERAGE(E21:E23)</f>
        <v>3.6793333333333336</v>
      </c>
      <c r="N21">
        <f>_xlfn.STDEV.P(E21,E22,E23)</f>
        <v>8.1830448014307052E-3</v>
      </c>
      <c r="O21">
        <f>AVERAGE(F21:F23)</f>
        <v>13589.516666666668</v>
      </c>
      <c r="P21">
        <f>_xlfn.STDEV.P(F21,F22,F23)</f>
        <v>30.279190140351652</v>
      </c>
    </row>
    <row r="22" spans="2:16" x14ac:dyDescent="0.3">
      <c r="B22">
        <v>4096</v>
      </c>
      <c r="C22">
        <v>2</v>
      </c>
      <c r="D22">
        <v>14.6715</v>
      </c>
      <c r="E22">
        <v>3.6678999999999999</v>
      </c>
      <c r="F22">
        <v>13631.86</v>
      </c>
      <c r="K22" t="s">
        <v>29</v>
      </c>
    </row>
    <row r="23" spans="2:16" x14ac:dyDescent="0.3">
      <c r="B23">
        <v>4096</v>
      </c>
      <c r="C23">
        <v>3</v>
      </c>
      <c r="D23">
        <v>14.7462</v>
      </c>
      <c r="E23">
        <v>3.6865999999999999</v>
      </c>
      <c r="F23">
        <v>13562.82</v>
      </c>
      <c r="K23" t="s">
        <v>17</v>
      </c>
      <c r="L23" t="s">
        <v>31</v>
      </c>
      <c r="M23" t="s">
        <v>18</v>
      </c>
      <c r="N23" t="s">
        <v>31</v>
      </c>
      <c r="O23" t="s">
        <v>19</v>
      </c>
      <c r="P23" t="s">
        <v>31</v>
      </c>
    </row>
    <row r="24" spans="2:16" x14ac:dyDescent="0.3">
      <c r="B24">
        <v>8192</v>
      </c>
      <c r="C24">
        <v>1</v>
      </c>
      <c r="D24">
        <v>15.3964</v>
      </c>
      <c r="E24">
        <v>3.8491</v>
      </c>
      <c r="F24">
        <v>12990.06</v>
      </c>
      <c r="K24">
        <f>AVERAGE(D24:D26)</f>
        <v>15.322533333333334</v>
      </c>
      <c r="L24">
        <f>_xlfn.STDEV.P(D24,D25,D26)</f>
        <v>8.3380146850967535E-2</v>
      </c>
      <c r="M24">
        <f>AVERAGE(E24:E26)</f>
        <v>3.8306333333333336</v>
      </c>
      <c r="N24">
        <f>_xlfn.STDEV.P(E24,E25,E26)</f>
        <v>2.0845036712741884E-2</v>
      </c>
      <c r="O24">
        <f>AVERAGE(F24:F26)</f>
        <v>13053.066666666666</v>
      </c>
      <c r="P24">
        <f>_xlfn.STDEV.P(F24,F25,F26)</f>
        <v>71.276174763302535</v>
      </c>
    </row>
    <row r="25" spans="2:16" x14ac:dyDescent="0.3">
      <c r="B25">
        <v>8192</v>
      </c>
      <c r="C25">
        <v>2</v>
      </c>
      <c r="D25">
        <v>15.3652</v>
      </c>
      <c r="E25">
        <v>3.8412999999999999</v>
      </c>
      <c r="F25">
        <v>13016.43</v>
      </c>
      <c r="K25" t="s">
        <v>30</v>
      </c>
    </row>
    <row r="26" spans="2:16" x14ac:dyDescent="0.3">
      <c r="B26">
        <v>8192</v>
      </c>
      <c r="C26">
        <v>3</v>
      </c>
      <c r="D26">
        <v>15.206</v>
      </c>
      <c r="E26">
        <v>3.8014999999999999</v>
      </c>
      <c r="F26">
        <v>13152.71</v>
      </c>
      <c r="K26" t="s">
        <v>17</v>
      </c>
      <c r="L26" t="s">
        <v>31</v>
      </c>
      <c r="M26" t="s">
        <v>18</v>
      </c>
      <c r="N26" t="s">
        <v>31</v>
      </c>
      <c r="O26" t="s">
        <v>19</v>
      </c>
      <c r="P26" t="s">
        <v>31</v>
      </c>
    </row>
    <row r="27" spans="2:16" x14ac:dyDescent="0.3">
      <c r="B27">
        <v>16384</v>
      </c>
      <c r="C27">
        <v>1</v>
      </c>
      <c r="D27">
        <v>21.473199999999999</v>
      </c>
      <c r="E27">
        <v>5.3682999999999996</v>
      </c>
      <c r="F27">
        <v>9313.93</v>
      </c>
      <c r="K27">
        <f>AVERAGE(D27:D29)</f>
        <v>21.7088</v>
      </c>
      <c r="L27">
        <f>_xlfn.STDEV.P(D27,D28,D29)</f>
        <v>0.24248733300250341</v>
      </c>
      <c r="M27">
        <f>AVERAGE(E27:E29)</f>
        <v>5.4272</v>
      </c>
      <c r="N27">
        <f>_xlfn.STDEV.P(E27,E28,E29)</f>
        <v>6.0621833250625853E-2</v>
      </c>
      <c r="O27">
        <f>AVERAGE(F27:F29)</f>
        <v>9213.996666666666</v>
      </c>
      <c r="P27">
        <f>_xlfn.STDEV.P(F27,F28,F29)</f>
        <v>102.30729994590914</v>
      </c>
    </row>
    <row r="28" spans="2:16" x14ac:dyDescent="0.3">
      <c r="B28">
        <v>16384</v>
      </c>
      <c r="C28">
        <v>2</v>
      </c>
      <c r="D28">
        <v>22.042400000000001</v>
      </c>
      <c r="E28">
        <v>5.5106000000000002</v>
      </c>
      <c r="F28">
        <v>9073.42</v>
      </c>
    </row>
    <row r="29" spans="2:16" x14ac:dyDescent="0.3">
      <c r="B29">
        <v>16384</v>
      </c>
      <c r="C29">
        <v>3</v>
      </c>
      <c r="D29">
        <v>21.610800000000001</v>
      </c>
      <c r="E29">
        <v>5.4027000000000003</v>
      </c>
      <c r="F29">
        <v>9254.64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529B-5CFD-4974-B4D6-67B5D0DE5CCB}">
  <dimension ref="B1:P20"/>
  <sheetViews>
    <sheetView workbookViewId="0">
      <selection activeCell="P19" sqref="K1:P19"/>
    </sheetView>
  </sheetViews>
  <sheetFormatPr defaultRowHeight="14.4" x14ac:dyDescent="0.3"/>
  <sheetData>
    <row r="1" spans="2:16" x14ac:dyDescent="0.3">
      <c r="B1" t="s">
        <v>10</v>
      </c>
      <c r="K1" t="s">
        <v>22</v>
      </c>
    </row>
    <row r="2" spans="2:1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K2" t="s">
        <v>17</v>
      </c>
      <c r="L2" t="s">
        <v>31</v>
      </c>
      <c r="M2" t="s">
        <v>18</v>
      </c>
      <c r="N2" t="s">
        <v>31</v>
      </c>
      <c r="O2" t="s">
        <v>19</v>
      </c>
      <c r="P2" t="s">
        <v>31</v>
      </c>
    </row>
    <row r="3" spans="2:16" x14ac:dyDescent="0.3">
      <c r="B3">
        <v>64</v>
      </c>
      <c r="C3">
        <v>1</v>
      </c>
      <c r="D3">
        <v>390.61559999999997</v>
      </c>
      <c r="E3">
        <v>13.0205</v>
      </c>
      <c r="F3">
        <v>3840.09</v>
      </c>
      <c r="K3">
        <f>AVERAGE(D3:D5)</f>
        <v>385.60390000000001</v>
      </c>
      <c r="L3">
        <f>_xlfn.STDEV.P(D3,D4,D5)</f>
        <v>4.4667476378232873</v>
      </c>
      <c r="M3">
        <f>AVERAGE(E3:E5)</f>
        <v>12.853433333333333</v>
      </c>
      <c r="N3">
        <f>_xlfn.STDEV.P(E3,E4,E5)</f>
        <v>0.14889471298725049</v>
      </c>
      <c r="O3">
        <f>AVERAGE(F3:F5)</f>
        <v>3890.5233333333331</v>
      </c>
      <c r="P3">
        <f>_xlfn.STDEV.P(F3,F4,F5)</f>
        <v>45.213290327316656</v>
      </c>
    </row>
    <row r="4" spans="2:16" x14ac:dyDescent="0.3">
      <c r="B4">
        <v>64</v>
      </c>
      <c r="C4">
        <v>2</v>
      </c>
      <c r="D4">
        <v>379.7679</v>
      </c>
      <c r="E4">
        <v>12.658899999999999</v>
      </c>
      <c r="F4">
        <v>3949.78</v>
      </c>
      <c r="K4" t="s">
        <v>23</v>
      </c>
    </row>
    <row r="5" spans="2:16" x14ac:dyDescent="0.3">
      <c r="B5">
        <v>64</v>
      </c>
      <c r="C5">
        <v>3</v>
      </c>
      <c r="D5">
        <v>386.4282</v>
      </c>
      <c r="E5">
        <v>12.8809</v>
      </c>
      <c r="F5">
        <v>3881.7</v>
      </c>
      <c r="K5" t="s">
        <v>17</v>
      </c>
      <c r="L5" t="s">
        <v>31</v>
      </c>
      <c r="M5" t="s">
        <v>18</v>
      </c>
      <c r="N5" t="s">
        <v>31</v>
      </c>
      <c r="O5" t="s">
        <v>19</v>
      </c>
      <c r="P5" t="s">
        <v>31</v>
      </c>
    </row>
    <row r="6" spans="2:16" x14ac:dyDescent="0.3">
      <c r="B6">
        <v>128</v>
      </c>
      <c r="C6">
        <v>1</v>
      </c>
      <c r="D6">
        <v>208.27359999999999</v>
      </c>
      <c r="E6">
        <v>6.9424999999999999</v>
      </c>
      <c r="F6">
        <v>7202.07</v>
      </c>
      <c r="K6">
        <f>AVERAGE(D6:D8)</f>
        <v>210.249</v>
      </c>
      <c r="L6">
        <f>_xlfn.STDEV.P(D6,D7,D8)</f>
        <v>1.471745156834795</v>
      </c>
      <c r="M6">
        <f>AVERAGE(E6:E8)</f>
        <v>7.0083000000000011</v>
      </c>
      <c r="N6">
        <f>_xlfn.STDEV.P(E6,E7,E8)</f>
        <v>4.9019995920032651E-2</v>
      </c>
      <c r="O6">
        <f>AVERAGE(F6:F8)</f>
        <v>7134.75</v>
      </c>
      <c r="P6">
        <f>_xlfn.STDEV.P(F6,F7,F8)</f>
        <v>50.089352827388886</v>
      </c>
    </row>
    <row r="7" spans="2:16" x14ac:dyDescent="0.3">
      <c r="B7">
        <v>128</v>
      </c>
      <c r="C7">
        <v>2</v>
      </c>
      <c r="D7">
        <v>210.66890000000001</v>
      </c>
      <c r="E7">
        <v>7.0223000000000004</v>
      </c>
      <c r="F7">
        <v>7120.18</v>
      </c>
      <c r="K7" t="s">
        <v>24</v>
      </c>
    </row>
    <row r="8" spans="2:16" x14ac:dyDescent="0.3">
      <c r="B8">
        <v>128</v>
      </c>
      <c r="C8">
        <v>3</v>
      </c>
      <c r="D8">
        <v>211.80449999999999</v>
      </c>
      <c r="E8">
        <v>7.0601000000000003</v>
      </c>
      <c r="F8">
        <v>7082</v>
      </c>
      <c r="K8" t="s">
        <v>17</v>
      </c>
      <c r="L8" t="s">
        <v>31</v>
      </c>
      <c r="M8" t="s">
        <v>18</v>
      </c>
      <c r="N8" t="s">
        <v>31</v>
      </c>
      <c r="O8" t="s">
        <v>19</v>
      </c>
      <c r="P8" t="s">
        <v>31</v>
      </c>
    </row>
    <row r="9" spans="2:16" x14ac:dyDescent="0.3">
      <c r="B9">
        <v>256</v>
      </c>
      <c r="C9">
        <v>1</v>
      </c>
      <c r="D9">
        <v>144.96870000000001</v>
      </c>
      <c r="E9">
        <v>4.8323</v>
      </c>
      <c r="F9">
        <v>10347.06</v>
      </c>
      <c r="K9">
        <f>AVERAGE(D9:D11)</f>
        <v>144.72716666666668</v>
      </c>
      <c r="L9">
        <f>_xlfn.STDEV.P(D9,D10,D11)</f>
        <v>0.19373136612903499</v>
      </c>
      <c r="M9">
        <f>AVERAGE(E9:E11)</f>
        <v>4.8242333333333329</v>
      </c>
      <c r="N9">
        <f>_xlfn.STDEV.P(E9,E10,E11)</f>
        <v>6.4546279693119962E-3</v>
      </c>
      <c r="O9">
        <f>AVERAGE(F9:F11)</f>
        <v>10364.35</v>
      </c>
      <c r="P9">
        <f>_xlfn.STDEV.P(F9,F10,F11)</f>
        <v>13.874900600245013</v>
      </c>
    </row>
    <row r="10" spans="2:16" x14ac:dyDescent="0.3">
      <c r="B10">
        <v>256</v>
      </c>
      <c r="C10">
        <v>2</v>
      </c>
      <c r="D10">
        <v>144.49440000000001</v>
      </c>
      <c r="E10">
        <v>4.8164999999999996</v>
      </c>
      <c r="F10">
        <v>10381.030000000001</v>
      </c>
      <c r="K10" t="s">
        <v>25</v>
      </c>
    </row>
    <row r="11" spans="2:16" x14ac:dyDescent="0.3">
      <c r="B11">
        <v>256</v>
      </c>
      <c r="C11">
        <v>3</v>
      </c>
      <c r="D11">
        <v>144.7184</v>
      </c>
      <c r="E11">
        <v>4.8239000000000001</v>
      </c>
      <c r="F11">
        <v>10364.959999999999</v>
      </c>
      <c r="K11" t="s">
        <v>17</v>
      </c>
      <c r="L11" t="s">
        <v>31</v>
      </c>
      <c r="M11" t="s">
        <v>18</v>
      </c>
      <c r="N11" t="s">
        <v>31</v>
      </c>
      <c r="O11" t="s">
        <v>19</v>
      </c>
      <c r="P11" t="s">
        <v>31</v>
      </c>
    </row>
    <row r="12" spans="2:16" x14ac:dyDescent="0.3">
      <c r="B12">
        <v>512</v>
      </c>
      <c r="C12">
        <v>1</v>
      </c>
      <c r="D12">
        <v>121.58499999999999</v>
      </c>
      <c r="E12">
        <v>4.0528000000000004</v>
      </c>
      <c r="F12">
        <v>12337.05</v>
      </c>
      <c r="K12">
        <f>AVERAGE(D12:D14)</f>
        <v>121.66983333333333</v>
      </c>
      <c r="L12">
        <f>_xlfn.STDEV.P(D12,D13,D14)</f>
        <v>0.52992392116436982</v>
      </c>
      <c r="M12">
        <f>AVERAGE(E12:E14)</f>
        <v>4.0556666666666663</v>
      </c>
      <c r="N12">
        <f>_xlfn.STDEV.P(E12,E13,E14)</f>
        <v>1.7671320141844422E-2</v>
      </c>
      <c r="O12">
        <f>AVERAGE(F12:F14)</f>
        <v>12328.683333333334</v>
      </c>
      <c r="P12">
        <f>_xlfn.STDEV.P(F12,F13,F14)</f>
        <v>53.644451923960922</v>
      </c>
    </row>
    <row r="13" spans="2:16" x14ac:dyDescent="0.3">
      <c r="B13">
        <v>512</v>
      </c>
      <c r="C13">
        <v>2</v>
      </c>
      <c r="D13">
        <v>122.3571</v>
      </c>
      <c r="E13">
        <v>4.0785999999999998</v>
      </c>
      <c r="F13">
        <v>12259.2</v>
      </c>
      <c r="K13" t="s">
        <v>26</v>
      </c>
    </row>
    <row r="14" spans="2:16" x14ac:dyDescent="0.3">
      <c r="B14">
        <v>512</v>
      </c>
      <c r="C14">
        <v>3</v>
      </c>
      <c r="D14">
        <v>121.06740000000001</v>
      </c>
      <c r="E14">
        <v>4.0355999999999996</v>
      </c>
      <c r="F14">
        <v>12389.8</v>
      </c>
      <c r="K14" t="s">
        <v>17</v>
      </c>
      <c r="L14" t="s">
        <v>31</v>
      </c>
      <c r="M14" t="s">
        <v>18</v>
      </c>
      <c r="N14" t="s">
        <v>31</v>
      </c>
      <c r="O14" t="s">
        <v>19</v>
      </c>
      <c r="P14" t="s">
        <v>31</v>
      </c>
    </row>
    <row r="15" spans="2:16" x14ac:dyDescent="0.3">
      <c r="B15">
        <v>1024</v>
      </c>
      <c r="C15">
        <v>1</v>
      </c>
      <c r="D15">
        <v>109.5844</v>
      </c>
      <c r="E15">
        <v>3.6528</v>
      </c>
      <c r="F15">
        <v>13688.09</v>
      </c>
      <c r="K15">
        <f>AVERAGE(D15:D17)</f>
        <v>110.6554</v>
      </c>
      <c r="L15">
        <f>_xlfn.STDEV.P(D15,D16,D17)</f>
        <v>1.3988855087771355</v>
      </c>
      <c r="M15">
        <f>AVERAGE(E15:E17)</f>
        <v>3.6884999999999999</v>
      </c>
      <c r="N15">
        <f>_xlfn.STDEV.P(E15,E16,E17)</f>
        <v>4.6652402581932068E-2</v>
      </c>
      <c r="O15">
        <f>AVERAGE(F15:F17)</f>
        <v>13557.75</v>
      </c>
      <c r="P15">
        <f>_xlfn.STDEV.P(F15,F16,F17)</f>
        <v>169.89492183896056</v>
      </c>
    </row>
    <row r="16" spans="2:16" x14ac:dyDescent="0.3">
      <c r="B16">
        <v>1024</v>
      </c>
      <c r="C16">
        <v>2</v>
      </c>
      <c r="D16">
        <v>112.6314</v>
      </c>
      <c r="E16">
        <v>3.7544</v>
      </c>
      <c r="F16">
        <v>13317.78</v>
      </c>
      <c r="K16" t="s">
        <v>27</v>
      </c>
    </row>
    <row r="17" spans="2:16" x14ac:dyDescent="0.3">
      <c r="B17">
        <v>1024</v>
      </c>
      <c r="C17">
        <v>3</v>
      </c>
      <c r="D17">
        <v>109.7504</v>
      </c>
      <c r="E17">
        <v>3.6583000000000001</v>
      </c>
      <c r="F17">
        <v>13667.38</v>
      </c>
      <c r="K17" t="s">
        <v>17</v>
      </c>
      <c r="L17" t="s">
        <v>31</v>
      </c>
      <c r="M17" t="s">
        <v>18</v>
      </c>
      <c r="N17" t="s">
        <v>31</v>
      </c>
      <c r="O17" t="s">
        <v>19</v>
      </c>
      <c r="P17" t="s">
        <v>31</v>
      </c>
    </row>
    <row r="18" spans="2:16" x14ac:dyDescent="0.3">
      <c r="B18">
        <v>2048</v>
      </c>
      <c r="C18">
        <v>1</v>
      </c>
      <c r="D18">
        <v>107.2668</v>
      </c>
      <c r="E18">
        <v>3.5756000000000001</v>
      </c>
      <c r="F18">
        <v>13983.82</v>
      </c>
      <c r="K18">
        <f>AVERAGE(D18:D20)</f>
        <v>107.41313333333335</v>
      </c>
      <c r="L18">
        <f>_xlfn.STDEV.P(D18,D19,D20)</f>
        <v>0.27995957247828374</v>
      </c>
      <c r="M18">
        <f>AVERAGE(E18:E20)</f>
        <v>3.5804666666666667</v>
      </c>
      <c r="N18">
        <f>_xlfn.STDEV.P(E18,E19,E20)</f>
        <v>9.3139083573380056E-3</v>
      </c>
      <c r="O18">
        <f>AVERAGE(F18:F20)</f>
        <v>13964.866666666667</v>
      </c>
      <c r="P18">
        <f>_xlfn.STDEV.P(F18,F19,F20)</f>
        <v>36.33245778761551</v>
      </c>
    </row>
    <row r="19" spans="2:16" x14ac:dyDescent="0.3">
      <c r="B19">
        <v>2048</v>
      </c>
      <c r="C19">
        <v>2</v>
      </c>
      <c r="D19">
        <v>107.8049</v>
      </c>
      <c r="E19">
        <v>3.5935000000000001</v>
      </c>
      <c r="F19">
        <v>13914.03</v>
      </c>
    </row>
    <row r="20" spans="2:16" x14ac:dyDescent="0.3">
      <c r="B20">
        <v>2048</v>
      </c>
      <c r="C20">
        <v>3</v>
      </c>
      <c r="D20">
        <v>107.1677</v>
      </c>
      <c r="E20">
        <v>3.5722999999999998</v>
      </c>
      <c r="F20">
        <v>13996.75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8F2D-61E9-4D4E-ACD9-D64F94B619E0}">
  <dimension ref="B1:P20"/>
  <sheetViews>
    <sheetView workbookViewId="0">
      <selection activeCell="P18" sqref="K1:P18"/>
    </sheetView>
  </sheetViews>
  <sheetFormatPr defaultRowHeight="14.4" x14ac:dyDescent="0.3"/>
  <sheetData>
    <row r="1" spans="2:16" x14ac:dyDescent="0.3">
      <c r="B1" t="s">
        <v>12</v>
      </c>
      <c r="K1" t="s">
        <v>20</v>
      </c>
    </row>
    <row r="2" spans="2:1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K2" t="s">
        <v>17</v>
      </c>
      <c r="L2" t="s">
        <v>31</v>
      </c>
      <c r="M2" t="s">
        <v>18</v>
      </c>
      <c r="N2" t="s">
        <v>31</v>
      </c>
      <c r="O2" t="s">
        <v>19</v>
      </c>
      <c r="P2" t="s">
        <v>31</v>
      </c>
    </row>
    <row r="3" spans="2:16" x14ac:dyDescent="0.3">
      <c r="B3">
        <v>16</v>
      </c>
      <c r="C3">
        <v>1</v>
      </c>
      <c r="D3">
        <v>77.875100000000003</v>
      </c>
      <c r="E3">
        <v>1.9469000000000001</v>
      </c>
      <c r="F3">
        <v>1284.1099999999999</v>
      </c>
      <c r="K3">
        <f>AVERAGE(D3:D5)</f>
        <v>78.356533333333346</v>
      </c>
      <c r="L3">
        <f>_xlfn.STDEV.P(D3,D4,D5)</f>
        <v>0.42413878493824109</v>
      </c>
      <c r="M3">
        <f>AVERAGE(E3:E5)</f>
        <v>1.9589333333333334</v>
      </c>
      <c r="N3">
        <f>_xlfn.STDEV.P(E3,E4,E5)</f>
        <v>1.0603877697437886E-2</v>
      </c>
      <c r="O3">
        <f>AVERAGE(F3:F5)</f>
        <v>1276.2533333333333</v>
      </c>
      <c r="P3">
        <f>_xlfn.STDEV.P(F3,F4,F5)</f>
        <v>6.9014797125125256</v>
      </c>
    </row>
    <row r="4" spans="2:16" x14ac:dyDescent="0.3">
      <c r="B4">
        <v>16</v>
      </c>
      <c r="C4">
        <v>2</v>
      </c>
      <c r="D4">
        <v>78.287400000000005</v>
      </c>
      <c r="E4">
        <v>1.9572000000000001</v>
      </c>
      <c r="F4">
        <v>1277.3399999999999</v>
      </c>
      <c r="K4" t="s">
        <v>21</v>
      </c>
    </row>
    <row r="5" spans="2:16" x14ac:dyDescent="0.3">
      <c r="B5">
        <v>16</v>
      </c>
      <c r="C5">
        <v>3</v>
      </c>
      <c r="D5">
        <v>78.9071</v>
      </c>
      <c r="E5">
        <v>1.9726999999999999</v>
      </c>
      <c r="F5">
        <v>1267.31</v>
      </c>
      <c r="K5" t="s">
        <v>17</v>
      </c>
      <c r="L5" t="s">
        <v>31</v>
      </c>
      <c r="M5" t="s">
        <v>18</v>
      </c>
      <c r="N5" t="s">
        <v>31</v>
      </c>
      <c r="O5" t="s">
        <v>19</v>
      </c>
      <c r="P5" t="s">
        <v>31</v>
      </c>
    </row>
    <row r="6" spans="2:16" x14ac:dyDescent="0.3">
      <c r="B6">
        <v>32</v>
      </c>
      <c r="C6">
        <v>1</v>
      </c>
      <c r="D6">
        <v>44.760199999999998</v>
      </c>
      <c r="E6">
        <v>1.119</v>
      </c>
      <c r="F6">
        <v>2234.13</v>
      </c>
      <c r="K6">
        <f>AVERAGE(D6:D8)</f>
        <v>44.698299999999996</v>
      </c>
      <c r="L6">
        <f>_xlfn.STDEV.P(D6,D7,D8)</f>
        <v>7.4377550376440907E-2</v>
      </c>
      <c r="M6">
        <f>AVERAGE(E6:E8)</f>
        <v>1.1174333333333333</v>
      </c>
      <c r="N6">
        <f>_xlfn.STDEV.P(E6,E7,E8)</f>
        <v>1.8732028424302842E-3</v>
      </c>
      <c r="O6">
        <f>AVERAGE(F6:F8)</f>
        <v>2237.2266666666669</v>
      </c>
      <c r="P6">
        <f>_xlfn.STDEV.P(F6,F7,F8)</f>
        <v>3.727826295428486</v>
      </c>
    </row>
    <row r="7" spans="2:16" x14ac:dyDescent="0.3">
      <c r="B7">
        <v>32</v>
      </c>
      <c r="C7">
        <v>2</v>
      </c>
      <c r="D7">
        <v>44.741</v>
      </c>
      <c r="E7">
        <v>1.1185</v>
      </c>
      <c r="F7">
        <v>2235.08</v>
      </c>
      <c r="K7" t="s">
        <v>22</v>
      </c>
    </row>
    <row r="8" spans="2:16" x14ac:dyDescent="0.3">
      <c r="B8">
        <v>32</v>
      </c>
      <c r="C8">
        <v>3</v>
      </c>
      <c r="D8">
        <v>44.593699999999998</v>
      </c>
      <c r="E8">
        <v>1.1148</v>
      </c>
      <c r="F8">
        <v>2242.4699999999998</v>
      </c>
      <c r="K8" t="s">
        <v>17</v>
      </c>
      <c r="L8" t="s">
        <v>31</v>
      </c>
      <c r="M8" t="s">
        <v>18</v>
      </c>
      <c r="N8" t="s">
        <v>31</v>
      </c>
      <c r="O8" t="s">
        <v>19</v>
      </c>
      <c r="P8" t="s">
        <v>31</v>
      </c>
    </row>
    <row r="9" spans="2:16" x14ac:dyDescent="0.3">
      <c r="B9">
        <v>64</v>
      </c>
      <c r="C9">
        <v>1</v>
      </c>
      <c r="D9">
        <v>28.113399999999999</v>
      </c>
      <c r="E9">
        <v>0.70279999999999998</v>
      </c>
      <c r="F9">
        <v>3557.02</v>
      </c>
      <c r="K9">
        <f>AVERAGE(D9:D11)</f>
        <v>27.988533333333333</v>
      </c>
      <c r="L9">
        <f>_xlfn.STDEV.P(D9,D10,D11)</f>
        <v>9.6111093127807634E-2</v>
      </c>
      <c r="M9">
        <f>AVERAGE(E9:E11)</f>
        <v>0.69969999999999999</v>
      </c>
      <c r="N9">
        <f>_xlfn.STDEV.P(E9,E10,E11)</f>
        <v>2.3846732830026638E-3</v>
      </c>
      <c r="O9">
        <f>AVERAGE(F9:F11)</f>
        <v>3572.9333333333329</v>
      </c>
      <c r="P9">
        <f>_xlfn.STDEV.P(F9,F10,F11)</f>
        <v>12.259614820847949</v>
      </c>
    </row>
    <row r="10" spans="2:16" x14ac:dyDescent="0.3">
      <c r="B10">
        <v>64</v>
      </c>
      <c r="C10">
        <v>2</v>
      </c>
      <c r="D10">
        <v>27.8796</v>
      </c>
      <c r="E10">
        <v>0.69699999999999995</v>
      </c>
      <c r="F10">
        <v>3586.85</v>
      </c>
      <c r="K10" t="s">
        <v>23</v>
      </c>
    </row>
    <row r="11" spans="2:16" x14ac:dyDescent="0.3">
      <c r="B11">
        <v>64</v>
      </c>
      <c r="C11">
        <v>3</v>
      </c>
      <c r="D11">
        <v>27.9726</v>
      </c>
      <c r="E11">
        <v>0.69930000000000003</v>
      </c>
      <c r="F11">
        <v>3574.93</v>
      </c>
      <c r="K11" t="s">
        <v>17</v>
      </c>
      <c r="L11" t="s">
        <v>31</v>
      </c>
      <c r="M11" t="s">
        <v>18</v>
      </c>
      <c r="N11" t="s">
        <v>31</v>
      </c>
      <c r="O11" t="s">
        <v>19</v>
      </c>
      <c r="P11" t="s">
        <v>31</v>
      </c>
    </row>
    <row r="12" spans="2:16" x14ac:dyDescent="0.3">
      <c r="B12">
        <v>128</v>
      </c>
      <c r="C12">
        <v>1</v>
      </c>
      <c r="D12">
        <v>20.0459</v>
      </c>
      <c r="E12">
        <v>0.50109999999999999</v>
      </c>
      <c r="F12">
        <v>4988.55</v>
      </c>
      <c r="K12">
        <f>AVERAGE(D12:D14)</f>
        <v>20.155633333333334</v>
      </c>
      <c r="L12">
        <f>_xlfn.STDEV.P(D12,D13,D14)</f>
        <v>7.7791573379698553E-2</v>
      </c>
      <c r="M12">
        <f>AVERAGE(E12:E14)</f>
        <v>0.50386666666666668</v>
      </c>
      <c r="N12">
        <f>_xlfn.STDEV.P(E12,E13,E14)</f>
        <v>1.9601587237318805E-3</v>
      </c>
      <c r="O12">
        <f>AVERAGE(F12:F14)</f>
        <v>4961.4633333333331</v>
      </c>
      <c r="P12">
        <f>_xlfn.STDEV.P(F12,F13,F14)</f>
        <v>19.201641133565232</v>
      </c>
    </row>
    <row r="13" spans="2:16" x14ac:dyDescent="0.3">
      <c r="B13">
        <v>128</v>
      </c>
      <c r="C13">
        <v>2</v>
      </c>
      <c r="D13">
        <v>20.203700000000001</v>
      </c>
      <c r="E13">
        <v>0.50509999999999999</v>
      </c>
      <c r="F13">
        <v>4949.59</v>
      </c>
      <c r="K13" t="s">
        <v>24</v>
      </c>
    </row>
    <row r="14" spans="2:16" x14ac:dyDescent="0.3">
      <c r="B14">
        <v>128</v>
      </c>
      <c r="C14">
        <v>3</v>
      </c>
      <c r="D14">
        <v>20.217300000000002</v>
      </c>
      <c r="E14">
        <v>0.50539999999999996</v>
      </c>
      <c r="F14">
        <v>4946.25</v>
      </c>
      <c r="K14" t="s">
        <v>17</v>
      </c>
      <c r="L14" t="s">
        <v>31</v>
      </c>
      <c r="M14" t="s">
        <v>18</v>
      </c>
      <c r="N14" t="s">
        <v>31</v>
      </c>
      <c r="O14" t="s">
        <v>19</v>
      </c>
      <c r="P14" t="s">
        <v>31</v>
      </c>
    </row>
    <row r="15" spans="2:16" x14ac:dyDescent="0.3">
      <c r="B15">
        <v>256</v>
      </c>
      <c r="C15">
        <v>1</v>
      </c>
      <c r="D15">
        <v>15.9787</v>
      </c>
      <c r="E15">
        <v>0.39950000000000002</v>
      </c>
      <c r="F15">
        <v>6258.33</v>
      </c>
      <c r="K15">
        <f>AVERAGE(D15:D17)</f>
        <v>16.007366666666666</v>
      </c>
      <c r="L15">
        <f>_xlfn.STDEV.P(D15,D16,D17)</f>
        <v>3.2619251302805692E-2</v>
      </c>
      <c r="M15">
        <f>AVERAGE(E15:E17)</f>
        <v>0.40020000000000006</v>
      </c>
      <c r="N15">
        <f>_xlfn.STDEV.P(E15,E16,E17)</f>
        <v>7.8740078740117199E-4</v>
      </c>
      <c r="O15">
        <f>AVERAGE(F15:F17)</f>
        <v>6247.1500000000005</v>
      </c>
      <c r="P15">
        <f>_xlfn.STDEV.P(F15,F16,F17)</f>
        <v>12.710635966255481</v>
      </c>
    </row>
    <row r="16" spans="2:16" x14ac:dyDescent="0.3">
      <c r="B16">
        <v>256</v>
      </c>
      <c r="C16">
        <v>2</v>
      </c>
      <c r="D16">
        <v>15.990399999999999</v>
      </c>
      <c r="E16">
        <v>0.39979999999999999</v>
      </c>
      <c r="F16">
        <v>6253.75</v>
      </c>
      <c r="K16" t="s">
        <v>25</v>
      </c>
    </row>
    <row r="17" spans="2:16" x14ac:dyDescent="0.3">
      <c r="B17">
        <v>256</v>
      </c>
      <c r="C17">
        <v>3</v>
      </c>
      <c r="D17">
        <v>16.053000000000001</v>
      </c>
      <c r="E17">
        <v>0.40129999999999999</v>
      </c>
      <c r="F17">
        <v>6229.37</v>
      </c>
      <c r="K17" t="s">
        <v>17</v>
      </c>
      <c r="L17" t="s">
        <v>31</v>
      </c>
      <c r="M17" t="s">
        <v>18</v>
      </c>
      <c r="N17" t="s">
        <v>31</v>
      </c>
      <c r="O17" t="s">
        <v>19</v>
      </c>
      <c r="P17" t="s">
        <v>31</v>
      </c>
    </row>
    <row r="18" spans="2:16" x14ac:dyDescent="0.3">
      <c r="B18">
        <v>512</v>
      </c>
      <c r="C18">
        <v>1</v>
      </c>
      <c r="D18">
        <v>13.3329</v>
      </c>
      <c r="E18">
        <v>0.33329999999999999</v>
      </c>
      <c r="F18">
        <v>7500.23</v>
      </c>
      <c r="K18">
        <f>AVERAGE(D18:D20)</f>
        <v>13.324266666666666</v>
      </c>
      <c r="L18">
        <f>_xlfn.STDEV.P(D18,D19,D20)</f>
        <v>8.9704453004793988E-3</v>
      </c>
      <c r="M18">
        <f>AVERAGE(E18:E20)</f>
        <v>0.33309999999999995</v>
      </c>
      <c r="N18">
        <f>_xlfn.STDEV.P(E18,E19,E20)</f>
        <v>2.1602468994693058E-4</v>
      </c>
      <c r="O18">
        <f>AVERAGE(F18:F20)</f>
        <v>7505.0966666666673</v>
      </c>
      <c r="P18">
        <f>_xlfn.STDEV.P(F18,F19,F20)</f>
        <v>5.0520117005234164</v>
      </c>
    </row>
    <row r="19" spans="2:16" x14ac:dyDescent="0.3">
      <c r="B19">
        <v>512</v>
      </c>
      <c r="C19">
        <v>2</v>
      </c>
      <c r="D19">
        <v>13.3119</v>
      </c>
      <c r="E19">
        <v>0.33279999999999998</v>
      </c>
      <c r="F19">
        <v>7512.06</v>
      </c>
    </row>
    <row r="20" spans="2:16" x14ac:dyDescent="0.3">
      <c r="B20">
        <v>512</v>
      </c>
      <c r="C20">
        <v>3</v>
      </c>
      <c r="D20">
        <v>13.327999999999999</v>
      </c>
      <c r="E20">
        <v>0.3332</v>
      </c>
      <c r="F20">
        <v>7503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6A140-5B66-4AFC-BEE7-5A27A4BB14E8}">
  <dimension ref="B1:P29"/>
  <sheetViews>
    <sheetView workbookViewId="0">
      <selection activeCell="P28" sqref="K1:P28"/>
    </sheetView>
  </sheetViews>
  <sheetFormatPr defaultRowHeight="14.4" x14ac:dyDescent="0.3"/>
  <sheetData>
    <row r="1" spans="2:16" x14ac:dyDescent="0.3">
      <c r="B1" t="s">
        <v>11</v>
      </c>
      <c r="K1" t="s">
        <v>20</v>
      </c>
    </row>
    <row r="2" spans="2:1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K2" t="s">
        <v>17</v>
      </c>
      <c r="L2" t="s">
        <v>31</v>
      </c>
      <c r="M2" t="s">
        <v>18</v>
      </c>
      <c r="N2" t="s">
        <v>31</v>
      </c>
      <c r="O2" t="s">
        <v>19</v>
      </c>
      <c r="P2" t="s">
        <v>31</v>
      </c>
    </row>
    <row r="3" spans="2:16" x14ac:dyDescent="0.3">
      <c r="B3">
        <v>16</v>
      </c>
      <c r="C3">
        <v>1</v>
      </c>
      <c r="D3">
        <v>76.605599999999995</v>
      </c>
      <c r="E3">
        <v>1.9151</v>
      </c>
      <c r="F3">
        <v>1305.3900000000001</v>
      </c>
      <c r="K3">
        <f>AVERAGE(D3:D5)</f>
        <v>77.467799999999997</v>
      </c>
      <c r="L3">
        <f>_xlfn.STDEV.P(D3,D4,D5)</f>
        <v>0.63858746203372363</v>
      </c>
      <c r="M3">
        <f>AVERAGE(E3:E5)</f>
        <v>1.9367000000000001</v>
      </c>
      <c r="N3">
        <f>_xlfn.STDEV.P(E3,E4,E5)</f>
        <v>1.5990830705959795E-2</v>
      </c>
      <c r="O3">
        <f>AVERAGE(F3:F5)</f>
        <v>1290.9466666666667</v>
      </c>
      <c r="P3">
        <f>_xlfn.STDEV.P(F3,F4,F5)</f>
        <v>10.682216790327553</v>
      </c>
    </row>
    <row r="4" spans="2:16" x14ac:dyDescent="0.3">
      <c r="B4">
        <v>16</v>
      </c>
      <c r="C4">
        <v>2</v>
      </c>
      <c r="D4">
        <v>78.131600000000006</v>
      </c>
      <c r="E4">
        <v>1.9533</v>
      </c>
      <c r="F4">
        <v>1279.8900000000001</v>
      </c>
      <c r="K4" t="s">
        <v>21</v>
      </c>
    </row>
    <row r="5" spans="2:16" x14ac:dyDescent="0.3">
      <c r="B5">
        <v>16</v>
      </c>
      <c r="C5">
        <v>3</v>
      </c>
      <c r="D5">
        <v>77.666200000000003</v>
      </c>
      <c r="E5">
        <v>1.9417</v>
      </c>
      <c r="F5">
        <v>1287.56</v>
      </c>
      <c r="K5" t="s">
        <v>17</v>
      </c>
      <c r="L5" t="s">
        <v>31</v>
      </c>
      <c r="M5" t="s">
        <v>18</v>
      </c>
      <c r="N5" t="s">
        <v>31</v>
      </c>
      <c r="O5" t="s">
        <v>19</v>
      </c>
      <c r="P5" t="s">
        <v>31</v>
      </c>
    </row>
    <row r="6" spans="2:16" x14ac:dyDescent="0.3">
      <c r="B6">
        <v>32</v>
      </c>
      <c r="C6">
        <v>1</v>
      </c>
      <c r="D6">
        <v>44.4741</v>
      </c>
      <c r="E6">
        <v>1.1119000000000001</v>
      </c>
      <c r="F6">
        <v>2248.5</v>
      </c>
      <c r="K6">
        <f>AVERAGE(D6:D8)</f>
        <v>44.343899999999998</v>
      </c>
      <c r="L6">
        <f>_xlfn.STDEV.P(D6,D7,D8)</f>
        <v>0.19605786560775001</v>
      </c>
      <c r="M6">
        <f>AVERAGE(E6:E8)</f>
        <v>1.1086333333333334</v>
      </c>
      <c r="N6">
        <f>_xlfn.STDEV.P(E6,E7,E8)</f>
        <v>4.9053259037726612E-3</v>
      </c>
      <c r="O6">
        <f>AVERAGE(F6:F8)</f>
        <v>2255.146666666667</v>
      </c>
      <c r="P6">
        <f>_xlfn.STDEV.P(F6,F7,F8)</f>
        <v>9.9996577719219051</v>
      </c>
    </row>
    <row r="7" spans="2:16" x14ac:dyDescent="0.3">
      <c r="B7">
        <v>32</v>
      </c>
      <c r="C7">
        <v>2</v>
      </c>
      <c r="D7">
        <v>44.066800000000001</v>
      </c>
      <c r="E7">
        <v>1.1016999999999999</v>
      </c>
      <c r="F7">
        <v>2269.2800000000002</v>
      </c>
      <c r="K7" t="s">
        <v>22</v>
      </c>
    </row>
    <row r="8" spans="2:16" x14ac:dyDescent="0.3">
      <c r="B8">
        <v>32</v>
      </c>
      <c r="C8">
        <v>3</v>
      </c>
      <c r="D8">
        <v>44.4908</v>
      </c>
      <c r="E8">
        <v>1.1123000000000001</v>
      </c>
      <c r="F8">
        <v>2247.66</v>
      </c>
      <c r="K8" t="s">
        <v>17</v>
      </c>
      <c r="L8" t="s">
        <v>31</v>
      </c>
      <c r="M8" t="s">
        <v>18</v>
      </c>
      <c r="N8" t="s">
        <v>31</v>
      </c>
      <c r="O8" t="s">
        <v>19</v>
      </c>
      <c r="P8" t="s">
        <v>31</v>
      </c>
    </row>
    <row r="9" spans="2:16" x14ac:dyDescent="0.3">
      <c r="B9">
        <v>64</v>
      </c>
      <c r="C9">
        <v>1</v>
      </c>
      <c r="D9">
        <v>28.1999</v>
      </c>
      <c r="E9">
        <v>0.70499999999999996</v>
      </c>
      <c r="F9">
        <v>3546.11</v>
      </c>
      <c r="K9">
        <f>AVERAGE(D9:D11)</f>
        <v>28.118300000000001</v>
      </c>
      <c r="L9">
        <f>_xlfn.STDEV.P(D9,D10,D11)</f>
        <v>8.1965887213319946E-2</v>
      </c>
      <c r="M9">
        <f>AVERAGE(E9:E11)</f>
        <v>0.70296666666666674</v>
      </c>
      <c r="N9">
        <f>_xlfn.STDEV.P(E9,E10,E11)</f>
        <v>2.0270394394014016E-3</v>
      </c>
      <c r="O9">
        <f>AVERAGE(F9:F11)</f>
        <v>3556.4366666666665</v>
      </c>
      <c r="P9">
        <f>_xlfn.STDEV.P(F9,F10,F11)</f>
        <v>10.382730319568497</v>
      </c>
    </row>
    <row r="10" spans="2:16" x14ac:dyDescent="0.3">
      <c r="B10">
        <v>64</v>
      </c>
      <c r="C10">
        <v>2</v>
      </c>
      <c r="D10">
        <v>28.148800000000001</v>
      </c>
      <c r="E10">
        <v>0.70369999999999999</v>
      </c>
      <c r="F10">
        <v>3552.56</v>
      </c>
      <c r="K10" t="s">
        <v>23</v>
      </c>
    </row>
    <row r="11" spans="2:16" x14ac:dyDescent="0.3">
      <c r="B11">
        <v>64</v>
      </c>
      <c r="C11">
        <v>3</v>
      </c>
      <c r="D11">
        <v>28.0062</v>
      </c>
      <c r="E11">
        <v>0.70020000000000004</v>
      </c>
      <c r="F11">
        <v>3570.64</v>
      </c>
      <c r="K11" t="s">
        <v>17</v>
      </c>
      <c r="L11" t="s">
        <v>31</v>
      </c>
      <c r="M11" t="s">
        <v>18</v>
      </c>
      <c r="N11" t="s">
        <v>31</v>
      </c>
      <c r="O11" t="s">
        <v>19</v>
      </c>
      <c r="P11" t="s">
        <v>31</v>
      </c>
    </row>
    <row r="12" spans="2:16" x14ac:dyDescent="0.3">
      <c r="B12">
        <v>128</v>
      </c>
      <c r="C12">
        <v>1</v>
      </c>
      <c r="D12">
        <v>20.1553</v>
      </c>
      <c r="E12">
        <v>0.50390000000000001</v>
      </c>
      <c r="F12">
        <v>4961.4799999999996</v>
      </c>
      <c r="K12">
        <f>AVERAGE(D12:D14)</f>
        <v>20.171000000000003</v>
      </c>
      <c r="L12">
        <f>_xlfn.STDEV.P(D12,D13,D14)</f>
        <v>3.6317029981354644E-2</v>
      </c>
      <c r="M12">
        <f>AVERAGE(E12:E14)</f>
        <v>0.50426666666666664</v>
      </c>
      <c r="N12">
        <f>_xlfn.STDEV.P(E12,E13,E14)</f>
        <v>8.9566858950294826E-4</v>
      </c>
      <c r="O12">
        <f>AVERAGE(F12:F14)</f>
        <v>4957.6333333333323</v>
      </c>
      <c r="P12">
        <f>_xlfn.STDEV.P(F12,F13,F14)</f>
        <v>8.9243387554607647</v>
      </c>
    </row>
    <row r="13" spans="2:16" x14ac:dyDescent="0.3">
      <c r="B13">
        <v>128</v>
      </c>
      <c r="C13">
        <v>2</v>
      </c>
      <c r="D13">
        <v>20.136500000000002</v>
      </c>
      <c r="E13">
        <v>0.50339999999999996</v>
      </c>
      <c r="F13">
        <v>4966.12</v>
      </c>
      <c r="K13" t="s">
        <v>24</v>
      </c>
    </row>
    <row r="14" spans="2:16" x14ac:dyDescent="0.3">
      <c r="B14">
        <v>128</v>
      </c>
      <c r="C14">
        <v>3</v>
      </c>
      <c r="D14">
        <v>20.2212</v>
      </c>
      <c r="E14">
        <v>0.50549999999999995</v>
      </c>
      <c r="F14">
        <v>4945.3</v>
      </c>
      <c r="K14" t="s">
        <v>17</v>
      </c>
      <c r="L14" t="s">
        <v>31</v>
      </c>
      <c r="M14" t="s">
        <v>18</v>
      </c>
      <c r="N14" t="s">
        <v>31</v>
      </c>
      <c r="O14" t="s">
        <v>19</v>
      </c>
      <c r="P14" t="s">
        <v>31</v>
      </c>
    </row>
    <row r="15" spans="2:16" x14ac:dyDescent="0.3">
      <c r="B15">
        <v>256</v>
      </c>
      <c r="C15">
        <v>1</v>
      </c>
      <c r="D15">
        <v>15.9391</v>
      </c>
      <c r="E15">
        <v>0.39850000000000002</v>
      </c>
      <c r="F15">
        <v>6273.87</v>
      </c>
      <c r="K15">
        <f>AVERAGE(D15:D17)</f>
        <v>15.941433333333334</v>
      </c>
      <c r="L15">
        <f>_xlfn.STDEV.P(D15,D16,D17)</f>
        <v>2.1211527264411941E-2</v>
      </c>
      <c r="M15">
        <f>AVERAGE(E15:E17)</f>
        <v>0.39853333333333335</v>
      </c>
      <c r="N15">
        <f>_xlfn.STDEV.P(E15,E16,E17)</f>
        <v>5.3124591501698304E-4</v>
      </c>
      <c r="O15">
        <f>AVERAGE(F15:F17)</f>
        <v>6272.97</v>
      </c>
      <c r="P15">
        <f>_xlfn.STDEV.P(F15,F16,F17)</f>
        <v>8.3444033139983933</v>
      </c>
    </row>
    <row r="16" spans="2:16" x14ac:dyDescent="0.3">
      <c r="B16">
        <v>256</v>
      </c>
      <c r="C16">
        <v>2</v>
      </c>
      <c r="D16">
        <v>15.916700000000001</v>
      </c>
      <c r="E16">
        <v>0.39789999999999998</v>
      </c>
      <c r="F16">
        <v>6282.71</v>
      </c>
      <c r="K16" t="s">
        <v>25</v>
      </c>
    </row>
    <row r="17" spans="2:16" x14ac:dyDescent="0.3">
      <c r="B17">
        <v>256</v>
      </c>
      <c r="C17">
        <v>3</v>
      </c>
      <c r="D17">
        <v>15.968500000000001</v>
      </c>
      <c r="E17">
        <v>0.3992</v>
      </c>
      <c r="F17">
        <v>6262.33</v>
      </c>
      <c r="K17" t="s">
        <v>17</v>
      </c>
      <c r="L17" t="s">
        <v>31</v>
      </c>
      <c r="M17" t="s">
        <v>18</v>
      </c>
      <c r="N17" t="s">
        <v>31</v>
      </c>
      <c r="O17" t="s">
        <v>19</v>
      </c>
      <c r="P17" t="s">
        <v>31</v>
      </c>
    </row>
    <row r="18" spans="2:16" x14ac:dyDescent="0.3">
      <c r="B18">
        <v>512</v>
      </c>
      <c r="C18">
        <v>1</v>
      </c>
      <c r="D18">
        <v>13.3186</v>
      </c>
      <c r="E18">
        <v>0.33300000000000002</v>
      </c>
      <c r="F18">
        <v>7508.28</v>
      </c>
      <c r="K18">
        <f>AVERAGE(D18:D20)</f>
        <v>13.309733333333334</v>
      </c>
      <c r="L18">
        <f>_xlfn.STDEV.P(D18,D19,D20)</f>
        <v>2.0341309910841834E-2</v>
      </c>
      <c r="M18">
        <f>AVERAGE(E18:E20)</f>
        <v>0.33273333333333333</v>
      </c>
      <c r="N18">
        <f>_xlfn.STDEV.P(E18,E19,E20)</f>
        <v>5.2493385826744799E-4</v>
      </c>
      <c r="O18">
        <f>AVERAGE(F18:F20)</f>
        <v>7513.3166666666657</v>
      </c>
      <c r="P18">
        <f>_xlfn.STDEV.P(F18,F19,F20)</f>
        <v>11.50223263351749</v>
      </c>
    </row>
    <row r="19" spans="2:16" x14ac:dyDescent="0.3">
      <c r="B19">
        <v>512</v>
      </c>
      <c r="C19">
        <v>2</v>
      </c>
      <c r="D19">
        <v>13.281599999999999</v>
      </c>
      <c r="E19">
        <v>0.33200000000000002</v>
      </c>
      <c r="F19">
        <v>7529.23</v>
      </c>
      <c r="K19" t="s">
        <v>26</v>
      </c>
    </row>
    <row r="20" spans="2:16" x14ac:dyDescent="0.3">
      <c r="B20">
        <v>512</v>
      </c>
      <c r="C20">
        <v>3</v>
      </c>
      <c r="D20">
        <v>13.329000000000001</v>
      </c>
      <c r="E20">
        <v>0.3332</v>
      </c>
      <c r="F20">
        <v>7502.44</v>
      </c>
      <c r="K20" t="s">
        <v>17</v>
      </c>
      <c r="L20" t="s">
        <v>31</v>
      </c>
      <c r="M20" t="s">
        <v>18</v>
      </c>
      <c r="N20" t="s">
        <v>31</v>
      </c>
      <c r="O20" t="s">
        <v>19</v>
      </c>
      <c r="P20" t="s">
        <v>31</v>
      </c>
    </row>
    <row r="21" spans="2:16" x14ac:dyDescent="0.3">
      <c r="B21">
        <v>1024</v>
      </c>
      <c r="C21">
        <v>1</v>
      </c>
      <c r="D21">
        <v>12.311500000000001</v>
      </c>
      <c r="E21">
        <v>0.30780000000000002</v>
      </c>
      <c r="F21">
        <v>8122.45</v>
      </c>
      <c r="K21">
        <f>AVERAGE(D21:D23)</f>
        <v>12.309733333333334</v>
      </c>
      <c r="L21">
        <f>_xlfn.STDEV.P(D21,D22,D23)</f>
        <v>2.0237478982213508E-3</v>
      </c>
      <c r="M21">
        <f>AVERAGE(E21:E23)</f>
        <v>0.30776666666666669</v>
      </c>
      <c r="N21">
        <f>_xlfn.STDEV.P(E21,E22,E23)</f>
        <v>4.7140452079124149E-5</v>
      </c>
      <c r="O21">
        <f>AVERAGE(F21:F23)</f>
        <v>8123.6333333333341</v>
      </c>
      <c r="P21">
        <f>_xlfn.STDEV.P(F21,F22,F23)</f>
        <v>1.3356230339766963</v>
      </c>
    </row>
    <row r="22" spans="2:16" x14ac:dyDescent="0.3">
      <c r="B22">
        <v>1024</v>
      </c>
      <c r="C22">
        <v>2</v>
      </c>
      <c r="D22">
        <v>12.306900000000001</v>
      </c>
      <c r="E22">
        <v>0.30769999999999997</v>
      </c>
      <c r="F22">
        <v>8125.5</v>
      </c>
      <c r="K22" t="s">
        <v>32</v>
      </c>
    </row>
    <row r="23" spans="2:16" x14ac:dyDescent="0.3">
      <c r="B23">
        <v>1024</v>
      </c>
      <c r="C23">
        <v>3</v>
      </c>
      <c r="D23">
        <v>12.3108</v>
      </c>
      <c r="E23">
        <v>0.30780000000000002</v>
      </c>
      <c r="F23">
        <v>8122.95</v>
      </c>
      <c r="K23" t="s">
        <v>17</v>
      </c>
      <c r="L23" t="s">
        <v>31</v>
      </c>
      <c r="M23" t="s">
        <v>18</v>
      </c>
      <c r="N23" t="s">
        <v>31</v>
      </c>
      <c r="O23" t="s">
        <v>19</v>
      </c>
      <c r="P23" t="s">
        <v>31</v>
      </c>
    </row>
    <row r="24" spans="2:16" x14ac:dyDescent="0.3">
      <c r="B24">
        <v>2048</v>
      </c>
      <c r="C24">
        <v>1</v>
      </c>
      <c r="D24">
        <v>11.9588</v>
      </c>
      <c r="E24">
        <v>0.29899999999999999</v>
      </c>
      <c r="F24">
        <v>8362.06</v>
      </c>
      <c r="K24">
        <f>AVERAGE(D24:D26)</f>
        <v>11.976366666666669</v>
      </c>
      <c r="L24">
        <f>_xlfn.STDEV.P(D24,D25,D26)</f>
        <v>3.1422532608871047E-2</v>
      </c>
      <c r="M24">
        <f>AVERAGE(E24:E26)</f>
        <v>0.29939999999999994</v>
      </c>
      <c r="N24">
        <f>_xlfn.STDEV.P(E24,E25,E26)</f>
        <v>7.8740078740117199E-4</v>
      </c>
      <c r="O24">
        <f>AVERAGE(F24:F26)</f>
        <v>8349.836666666668</v>
      </c>
      <c r="P24">
        <f>_xlfn.STDEV.P(F24,F25,F26)</f>
        <v>21.885277141392304</v>
      </c>
    </row>
    <row r="25" spans="2:16" x14ac:dyDescent="0.3">
      <c r="B25">
        <v>2048</v>
      </c>
      <c r="C25">
        <v>2</v>
      </c>
      <c r="D25">
        <v>12.0205</v>
      </c>
      <c r="E25">
        <v>0.30049999999999999</v>
      </c>
      <c r="F25">
        <v>8319.1</v>
      </c>
      <c r="K25" t="s">
        <v>28</v>
      </c>
    </row>
    <row r="26" spans="2:16" x14ac:dyDescent="0.3">
      <c r="B26">
        <v>2048</v>
      </c>
      <c r="C26">
        <v>3</v>
      </c>
      <c r="D26">
        <v>11.9498</v>
      </c>
      <c r="E26">
        <v>0.29870000000000002</v>
      </c>
      <c r="F26">
        <v>8368.35</v>
      </c>
      <c r="K26" t="s">
        <v>17</v>
      </c>
      <c r="L26" t="s">
        <v>31</v>
      </c>
      <c r="M26" t="s">
        <v>18</v>
      </c>
      <c r="N26" t="s">
        <v>31</v>
      </c>
      <c r="O26" t="s">
        <v>19</v>
      </c>
      <c r="P26" t="s">
        <v>31</v>
      </c>
    </row>
    <row r="27" spans="2:16" x14ac:dyDescent="0.3">
      <c r="B27">
        <v>4096</v>
      </c>
      <c r="C27">
        <v>1</v>
      </c>
      <c r="D27">
        <v>2.3102</v>
      </c>
      <c r="E27">
        <v>5.7799999999999997E-2</v>
      </c>
      <c r="F27">
        <v>43285.52</v>
      </c>
      <c r="K27">
        <f>AVERAGE(D27:D29)</f>
        <v>2.3071333333333333</v>
      </c>
      <c r="L27">
        <f>_xlfn.STDEV.P(D27,D28,D29)</f>
        <v>5.4322084725172979E-3</v>
      </c>
      <c r="M27">
        <f>AVERAGE(E27:E29)</f>
        <v>5.7700000000000001E-2</v>
      </c>
      <c r="N27">
        <f>_xlfn.STDEV.P(E27,E28,E29)</f>
        <v>1.4142135623730701E-4</v>
      </c>
      <c r="O27">
        <f>AVERAGE(F27:F29)</f>
        <v>43343.596666666672</v>
      </c>
      <c r="P27">
        <f>_xlfn.STDEV.P(F27,F28,F29)</f>
        <v>102.17434979267362</v>
      </c>
    </row>
    <row r="28" spans="2:16" x14ac:dyDescent="0.3">
      <c r="B28">
        <v>4096</v>
      </c>
      <c r="C28">
        <v>2</v>
      </c>
      <c r="D28">
        <v>2.3117000000000001</v>
      </c>
      <c r="E28">
        <v>5.7799999999999997E-2</v>
      </c>
      <c r="F28">
        <v>43258.05</v>
      </c>
    </row>
    <row r="29" spans="2:16" x14ac:dyDescent="0.3">
      <c r="B29">
        <v>4096</v>
      </c>
      <c r="C29">
        <v>3</v>
      </c>
      <c r="D29">
        <v>2.2995000000000001</v>
      </c>
      <c r="E29">
        <v>5.7500000000000002E-2</v>
      </c>
      <c r="F29">
        <v>43487.22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9AED-A5BD-4D8E-A438-D334ACEB1B9F}">
  <dimension ref="B1:P29"/>
  <sheetViews>
    <sheetView workbookViewId="0">
      <selection activeCell="P27" sqref="K1:P27"/>
    </sheetView>
  </sheetViews>
  <sheetFormatPr defaultRowHeight="14.4" x14ac:dyDescent="0.3"/>
  <sheetData>
    <row r="1" spans="2:16" x14ac:dyDescent="0.3">
      <c r="B1" t="s">
        <v>13</v>
      </c>
      <c r="K1" t="s">
        <v>22</v>
      </c>
    </row>
    <row r="2" spans="2:1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K2" t="s">
        <v>17</v>
      </c>
      <c r="L2" t="s">
        <v>31</v>
      </c>
      <c r="M2" t="s">
        <v>18</v>
      </c>
      <c r="N2" t="s">
        <v>31</v>
      </c>
      <c r="O2" t="s">
        <v>19</v>
      </c>
      <c r="P2" t="s">
        <v>31</v>
      </c>
    </row>
    <row r="3" spans="2:16" x14ac:dyDescent="0.3">
      <c r="B3">
        <v>64</v>
      </c>
      <c r="C3">
        <v>1</v>
      </c>
      <c r="D3">
        <v>112.0902</v>
      </c>
      <c r="E3">
        <v>22.417999999999999</v>
      </c>
      <c r="F3">
        <v>2230.35</v>
      </c>
      <c r="K3">
        <f>AVERAGE(D3:D5)</f>
        <v>112.49776666666666</v>
      </c>
      <c r="L3">
        <f>_xlfn.STDEV.P(D3,D4,D5)</f>
        <v>0.45596454784214147</v>
      </c>
      <c r="M3">
        <f>AVERAGE(E3:E5)</f>
        <v>22.499566666666666</v>
      </c>
      <c r="N3">
        <f>_xlfn.STDEV.P(E3,E4,E5)</f>
        <v>9.121675041107026E-2</v>
      </c>
      <c r="O3">
        <f>AVERAGE(F3:F5)</f>
        <v>2222.3033333333333</v>
      </c>
      <c r="P3">
        <f>_xlfn.STDEV.P(F3,F4,F5)</f>
        <v>8.987103105129064</v>
      </c>
    </row>
    <row r="4" spans="2:16" x14ac:dyDescent="0.3">
      <c r="B4">
        <v>64</v>
      </c>
      <c r="C4">
        <v>2</v>
      </c>
      <c r="D4">
        <v>112.2688</v>
      </c>
      <c r="E4">
        <v>22.453800000000001</v>
      </c>
      <c r="F4">
        <v>2226.8000000000002</v>
      </c>
      <c r="K4" t="s">
        <v>23</v>
      </c>
    </row>
    <row r="5" spans="2:16" x14ac:dyDescent="0.3">
      <c r="B5">
        <v>64</v>
      </c>
      <c r="C5">
        <v>3</v>
      </c>
      <c r="D5">
        <v>113.1343</v>
      </c>
      <c r="E5">
        <v>22.626899999999999</v>
      </c>
      <c r="F5">
        <v>2209.7600000000002</v>
      </c>
      <c r="K5" t="s">
        <v>17</v>
      </c>
      <c r="L5" t="s">
        <v>31</v>
      </c>
      <c r="M5" t="s">
        <v>18</v>
      </c>
      <c r="N5" t="s">
        <v>31</v>
      </c>
      <c r="O5" t="s">
        <v>19</v>
      </c>
      <c r="P5" t="s">
        <v>31</v>
      </c>
    </row>
    <row r="6" spans="2:16" x14ac:dyDescent="0.3">
      <c r="B6">
        <v>128</v>
      </c>
      <c r="C6">
        <v>1</v>
      </c>
      <c r="D6">
        <v>91.2136</v>
      </c>
      <c r="E6">
        <v>18.242699999999999</v>
      </c>
      <c r="F6">
        <v>2740.82</v>
      </c>
      <c r="K6">
        <f>AVERAGE(D6:D8)</f>
        <v>95.466433333333342</v>
      </c>
      <c r="L6">
        <f>_xlfn.STDEV.P(D6,D7,D8)</f>
        <v>4.4766296565856605</v>
      </c>
      <c r="M6">
        <f>AVERAGE(E6:E8)</f>
        <v>19.093299999999999</v>
      </c>
      <c r="N6">
        <f>_xlfn.STDEV.P(E6,E7,E8)</f>
        <v>0.89534781323610058</v>
      </c>
      <c r="O6">
        <f>AVERAGE(F6:F8)</f>
        <v>2624.3466666666668</v>
      </c>
      <c r="P6">
        <f>_xlfn.STDEV.P(F6,F7,F8)</f>
        <v>119.94063012822448</v>
      </c>
    </row>
    <row r="7" spans="2:16" x14ac:dyDescent="0.3">
      <c r="B7">
        <v>128</v>
      </c>
      <c r="C7">
        <v>2</v>
      </c>
      <c r="D7">
        <v>101.65430000000001</v>
      </c>
      <c r="E7">
        <v>20.3309</v>
      </c>
      <c r="F7">
        <v>2459.3200000000002</v>
      </c>
      <c r="K7" t="s">
        <v>24</v>
      </c>
    </row>
    <row r="8" spans="2:16" x14ac:dyDescent="0.3">
      <c r="B8">
        <v>128</v>
      </c>
      <c r="C8">
        <v>3</v>
      </c>
      <c r="D8">
        <v>93.531400000000005</v>
      </c>
      <c r="E8">
        <v>18.706299999999999</v>
      </c>
      <c r="F8">
        <v>2672.9</v>
      </c>
      <c r="K8" t="s">
        <v>17</v>
      </c>
      <c r="L8" t="s">
        <v>31</v>
      </c>
      <c r="M8" t="s">
        <v>18</v>
      </c>
      <c r="N8" t="s">
        <v>31</v>
      </c>
      <c r="O8" t="s">
        <v>19</v>
      </c>
      <c r="P8" t="s">
        <v>31</v>
      </c>
    </row>
    <row r="9" spans="2:16" x14ac:dyDescent="0.3">
      <c r="B9">
        <v>256</v>
      </c>
      <c r="C9">
        <v>1</v>
      </c>
      <c r="D9">
        <v>82.197599999999994</v>
      </c>
      <c r="E9">
        <v>16.439499999999999</v>
      </c>
      <c r="F9">
        <v>3041.45</v>
      </c>
      <c r="K9">
        <f>AVERAGE(D9:D11)</f>
        <v>81.996499999999997</v>
      </c>
      <c r="L9">
        <f>_xlfn.STDEV.P(D9,D10,D11)</f>
        <v>0.21749070478221666</v>
      </c>
      <c r="M9">
        <f>AVERAGE(E9:E11)</f>
        <v>16.3993</v>
      </c>
      <c r="N9">
        <f>_xlfn.STDEV.P(E9,E10,E11)</f>
        <v>4.3482716873105724E-2</v>
      </c>
      <c r="O9">
        <f>AVERAGE(F9:F11)</f>
        <v>3048.93</v>
      </c>
      <c r="P9">
        <f>_xlfn.STDEV.P(F9,F10,F11)</f>
        <v>8.0978556832452089</v>
      </c>
    </row>
    <row r="10" spans="2:16" x14ac:dyDescent="0.3">
      <c r="B10">
        <v>256</v>
      </c>
      <c r="C10">
        <v>2</v>
      </c>
      <c r="D10">
        <v>81.694400000000002</v>
      </c>
      <c r="E10">
        <v>16.338899999999999</v>
      </c>
      <c r="F10">
        <v>3060.18</v>
      </c>
      <c r="K10" t="s">
        <v>25</v>
      </c>
    </row>
    <row r="11" spans="2:16" x14ac:dyDescent="0.3">
      <c r="B11">
        <v>256</v>
      </c>
      <c r="C11">
        <v>3</v>
      </c>
      <c r="D11">
        <v>82.097499999999997</v>
      </c>
      <c r="E11">
        <v>16.419499999999999</v>
      </c>
      <c r="F11">
        <v>3045.16</v>
      </c>
      <c r="K11" t="s">
        <v>17</v>
      </c>
      <c r="L11" t="s">
        <v>31</v>
      </c>
      <c r="M11" t="s">
        <v>18</v>
      </c>
      <c r="N11" t="s">
        <v>31</v>
      </c>
      <c r="O11" t="s">
        <v>19</v>
      </c>
      <c r="P11" t="s">
        <v>31</v>
      </c>
    </row>
    <row r="12" spans="2:16" x14ac:dyDescent="0.3">
      <c r="B12">
        <v>512</v>
      </c>
      <c r="C12">
        <v>1</v>
      </c>
      <c r="D12">
        <v>86.736800000000002</v>
      </c>
      <c r="E12">
        <v>17.3474</v>
      </c>
      <c r="F12">
        <v>2882.28</v>
      </c>
      <c r="K12">
        <f>AVERAGE(D12:D14)</f>
        <v>74.896233333333328</v>
      </c>
      <c r="L12">
        <f>_xlfn.STDEV.P(D12,D13,D14)</f>
        <v>8.3739828533911993</v>
      </c>
      <c r="M12">
        <f>AVERAGE(E12:E14)</f>
        <v>17.278466666666667</v>
      </c>
      <c r="N12">
        <f>_xlfn.STDEV.P(E12,E13,E14)</f>
        <v>6.2290198979364962E-2</v>
      </c>
      <c r="O12">
        <f>AVERAGE(F12:F14)</f>
        <v>2893.8133333333335</v>
      </c>
      <c r="P12">
        <f>_xlfn.STDEV.P(F12,F13,F14)</f>
        <v>10.443608358970348</v>
      </c>
    </row>
    <row r="13" spans="2:16" x14ac:dyDescent="0.3">
      <c r="B13">
        <v>512</v>
      </c>
      <c r="C13">
        <v>2</v>
      </c>
      <c r="D13">
        <v>68.785899999999998</v>
      </c>
      <c r="E13">
        <v>17.1965</v>
      </c>
      <c r="F13">
        <v>2907.57</v>
      </c>
      <c r="K13" t="s">
        <v>26</v>
      </c>
    </row>
    <row r="14" spans="2:16" x14ac:dyDescent="0.3">
      <c r="B14">
        <v>512</v>
      </c>
      <c r="C14">
        <v>3</v>
      </c>
      <c r="D14">
        <v>69.165999999999997</v>
      </c>
      <c r="E14">
        <v>17.291499999999999</v>
      </c>
      <c r="F14">
        <v>2891.59</v>
      </c>
      <c r="K14" t="s">
        <v>17</v>
      </c>
      <c r="L14" t="s">
        <v>31</v>
      </c>
      <c r="M14" t="s">
        <v>18</v>
      </c>
      <c r="N14" t="s">
        <v>31</v>
      </c>
      <c r="O14" t="s">
        <v>19</v>
      </c>
      <c r="P14" t="s">
        <v>31</v>
      </c>
    </row>
    <row r="15" spans="2:16" x14ac:dyDescent="0.3">
      <c r="B15">
        <v>1024</v>
      </c>
      <c r="C15">
        <v>1</v>
      </c>
      <c r="D15">
        <v>74.2209</v>
      </c>
      <c r="E15">
        <v>18.555199999999999</v>
      </c>
      <c r="F15">
        <v>2694.66</v>
      </c>
      <c r="K15">
        <f>AVERAGE(D15:D17)</f>
        <v>76.97193333333334</v>
      </c>
      <c r="L15">
        <f>_xlfn.STDEV.P(D15,D16,D17)</f>
        <v>3.9430613084534007</v>
      </c>
      <c r="M15">
        <f>AVERAGE(E15:E17)</f>
        <v>19.242966666666664</v>
      </c>
      <c r="N15">
        <f>_xlfn.STDEV.P(E15,E16,E17)</f>
        <v>0.98575935648052038</v>
      </c>
      <c r="O15">
        <f>AVERAGE(F15:F17)</f>
        <v>2604.9466666666667</v>
      </c>
      <c r="P15">
        <f>_xlfn.STDEV.P(F15,F16,F17)</f>
        <v>128.7806124987591</v>
      </c>
    </row>
    <row r="16" spans="2:16" x14ac:dyDescent="0.3">
      <c r="B16">
        <v>1024</v>
      </c>
      <c r="C16">
        <v>2</v>
      </c>
      <c r="D16">
        <v>74.146799999999999</v>
      </c>
      <c r="E16">
        <v>18.5367</v>
      </c>
      <c r="F16">
        <v>2697.35</v>
      </c>
      <c r="K16" t="s">
        <v>27</v>
      </c>
    </row>
    <row r="17" spans="2:16" x14ac:dyDescent="0.3">
      <c r="B17">
        <v>1024</v>
      </c>
      <c r="C17">
        <v>3</v>
      </c>
      <c r="D17">
        <v>82.548100000000005</v>
      </c>
      <c r="E17">
        <v>20.637</v>
      </c>
      <c r="F17">
        <v>2422.83</v>
      </c>
      <c r="K17" t="s">
        <v>17</v>
      </c>
      <c r="L17" t="s">
        <v>31</v>
      </c>
      <c r="M17" t="s">
        <v>18</v>
      </c>
      <c r="N17" t="s">
        <v>31</v>
      </c>
      <c r="O17" t="s">
        <v>19</v>
      </c>
      <c r="P17" t="s">
        <v>31</v>
      </c>
    </row>
    <row r="18" spans="2:16" x14ac:dyDescent="0.3">
      <c r="B18">
        <v>2048</v>
      </c>
      <c r="C18">
        <v>1</v>
      </c>
      <c r="D18">
        <v>86.532799999999995</v>
      </c>
      <c r="E18">
        <v>21.633199999999999</v>
      </c>
      <c r="F18">
        <v>2311.2600000000002</v>
      </c>
      <c r="K18">
        <f>AVERAGE(D18:D20)</f>
        <v>82.382033333333325</v>
      </c>
      <c r="L18">
        <f>_xlfn.STDEV.P(D18,D19,D20)</f>
        <v>3.0724673107383178</v>
      </c>
      <c r="M18">
        <f>AVERAGE(E18:E20)</f>
        <v>20.595533333333336</v>
      </c>
      <c r="N18">
        <f>_xlfn.STDEV.P(E18,E19,E20)</f>
        <v>0.76809692241423588</v>
      </c>
      <c r="O18">
        <f>AVERAGE(F18:F20)</f>
        <v>2431.0433333333335</v>
      </c>
      <c r="P18">
        <f>_xlfn.STDEV.P(F18,F19,F20)</f>
        <v>89.264850989749561</v>
      </c>
    </row>
    <row r="19" spans="2:16" x14ac:dyDescent="0.3">
      <c r="B19">
        <v>2048</v>
      </c>
      <c r="C19">
        <v>2</v>
      </c>
      <c r="D19">
        <v>81.419499999999999</v>
      </c>
      <c r="E19">
        <v>20.354900000000001</v>
      </c>
      <c r="F19">
        <v>2456.42</v>
      </c>
      <c r="K19" t="s">
        <v>28</v>
      </c>
    </row>
    <row r="20" spans="2:16" x14ac:dyDescent="0.3">
      <c r="B20">
        <v>2048</v>
      </c>
      <c r="C20">
        <v>3</v>
      </c>
      <c r="D20">
        <v>79.193799999999996</v>
      </c>
      <c r="E20">
        <v>19.798500000000001</v>
      </c>
      <c r="F20">
        <v>2525.4499999999998</v>
      </c>
      <c r="K20" t="s">
        <v>17</v>
      </c>
      <c r="L20" t="s">
        <v>31</v>
      </c>
      <c r="M20" t="s">
        <v>18</v>
      </c>
      <c r="N20" t="s">
        <v>31</v>
      </c>
      <c r="O20" t="s">
        <v>19</v>
      </c>
      <c r="P20" t="s">
        <v>31</v>
      </c>
    </row>
    <row r="21" spans="2:16" x14ac:dyDescent="0.3">
      <c r="B21">
        <v>4096</v>
      </c>
      <c r="C21">
        <v>1</v>
      </c>
      <c r="D21">
        <v>82.285799999999995</v>
      </c>
      <c r="E21">
        <v>20.5715</v>
      </c>
      <c r="F21">
        <v>2430.5500000000002</v>
      </c>
      <c r="K21">
        <f>AVERAGE(D21:D23)</f>
        <v>81.207700000000003</v>
      </c>
      <c r="L21">
        <f>_xlfn.STDEV.P(D21,D22,D23)</f>
        <v>0.99390268135265236</v>
      </c>
      <c r="M21">
        <f>AVERAGE(E21:E23)</f>
        <v>20.301933333333334</v>
      </c>
      <c r="N21">
        <f>_xlfn.STDEV.P(E21,E22,E23)</f>
        <v>0.24849172130184802</v>
      </c>
      <c r="O21">
        <f>AVERAGE(F21:F23)</f>
        <v>2463.19</v>
      </c>
      <c r="P21">
        <f>_xlfn.STDEV.P(F21,F22,F23)</f>
        <v>30.282088215092799</v>
      </c>
    </row>
    <row r="22" spans="2:16" x14ac:dyDescent="0.3">
      <c r="B22">
        <v>4096</v>
      </c>
      <c r="C22">
        <v>2</v>
      </c>
      <c r="D22">
        <v>79.887600000000006</v>
      </c>
      <c r="E22">
        <v>19.971900000000002</v>
      </c>
      <c r="F22">
        <v>2503.52</v>
      </c>
      <c r="K22" t="s">
        <v>29</v>
      </c>
    </row>
    <row r="23" spans="2:16" x14ac:dyDescent="0.3">
      <c r="B23">
        <v>4096</v>
      </c>
      <c r="C23">
        <v>3</v>
      </c>
      <c r="D23">
        <v>81.449700000000007</v>
      </c>
      <c r="E23">
        <v>20.362400000000001</v>
      </c>
      <c r="F23">
        <v>2455.5</v>
      </c>
      <c r="K23" t="s">
        <v>17</v>
      </c>
      <c r="L23" t="s">
        <v>31</v>
      </c>
      <c r="M23" t="s">
        <v>18</v>
      </c>
      <c r="N23" t="s">
        <v>31</v>
      </c>
      <c r="O23" t="s">
        <v>19</v>
      </c>
      <c r="P23" t="s">
        <v>31</v>
      </c>
    </row>
    <row r="24" spans="2:16" x14ac:dyDescent="0.3">
      <c r="B24">
        <v>8192</v>
      </c>
      <c r="C24">
        <v>1</v>
      </c>
      <c r="D24">
        <v>122.5437</v>
      </c>
      <c r="E24">
        <v>30.635899999999999</v>
      </c>
      <c r="F24">
        <v>1632.07</v>
      </c>
      <c r="K24">
        <f>AVERAGE(D24:D26)</f>
        <v>106.90573333333333</v>
      </c>
      <c r="L24">
        <f>_xlfn.STDEV.P(D24,D25,D26)</f>
        <v>11.183831414541698</v>
      </c>
      <c r="M24">
        <f>AVERAGE(E24:E26)</f>
        <v>26.726433333333333</v>
      </c>
      <c r="N24">
        <f>_xlfn.STDEV.P(E24,E25,E26)</f>
        <v>2.7959388468912336</v>
      </c>
      <c r="O24">
        <f>AVERAGE(F24:F26)</f>
        <v>1890.2233333333334</v>
      </c>
      <c r="P24">
        <f>_xlfn.STDEV.P(F24,F25,F26)</f>
        <v>185.70513838400439</v>
      </c>
    </row>
    <row r="25" spans="2:16" x14ac:dyDescent="0.3">
      <c r="B25">
        <v>8192</v>
      </c>
      <c r="C25">
        <v>2</v>
      </c>
      <c r="D25">
        <v>101.13800000000001</v>
      </c>
      <c r="E25">
        <v>25.284500000000001</v>
      </c>
      <c r="F25">
        <v>1977.5</v>
      </c>
      <c r="K25" t="s">
        <v>30</v>
      </c>
    </row>
    <row r="26" spans="2:16" x14ac:dyDescent="0.3">
      <c r="B26">
        <v>8192</v>
      </c>
      <c r="C26">
        <v>3</v>
      </c>
      <c r="D26">
        <v>97.035499999999999</v>
      </c>
      <c r="E26">
        <v>24.258900000000001</v>
      </c>
      <c r="F26">
        <v>2061.1</v>
      </c>
      <c r="K26" t="s">
        <v>17</v>
      </c>
      <c r="L26" t="s">
        <v>31</v>
      </c>
      <c r="M26" t="s">
        <v>18</v>
      </c>
      <c r="N26" t="s">
        <v>31</v>
      </c>
      <c r="O26" t="s">
        <v>19</v>
      </c>
      <c r="P26" t="s">
        <v>31</v>
      </c>
    </row>
    <row r="27" spans="2:16" x14ac:dyDescent="0.3">
      <c r="B27">
        <v>16384</v>
      </c>
      <c r="C27">
        <v>1</v>
      </c>
      <c r="D27">
        <v>86.740200000000002</v>
      </c>
      <c r="E27">
        <v>21.685099999999998</v>
      </c>
      <c r="F27">
        <v>2305.73</v>
      </c>
      <c r="K27">
        <f>AVERAGE(D27:D29)</f>
        <v>84.406600000000012</v>
      </c>
      <c r="L27">
        <f>_xlfn.STDEV.P(D27,D28,D29)</f>
        <v>1.6668793057687163</v>
      </c>
      <c r="M27">
        <f>AVERAGE(E27:E29)</f>
        <v>21.10166666666667</v>
      </c>
      <c r="N27">
        <f>_xlfn.STDEV.P(E27,E28,E29)</f>
        <v>0.41674604843824031</v>
      </c>
      <c r="O27">
        <f>AVERAGE(F27:F29)</f>
        <v>2370.3933333333334</v>
      </c>
      <c r="P27">
        <f>_xlfn.STDEV.P(F27,F28,F29)</f>
        <v>46.227569215302154</v>
      </c>
    </row>
    <row r="28" spans="2:16" x14ac:dyDescent="0.3">
      <c r="B28">
        <v>16384</v>
      </c>
      <c r="C28">
        <v>2</v>
      </c>
      <c r="D28">
        <v>83.528700000000001</v>
      </c>
      <c r="E28">
        <v>20.882200000000001</v>
      </c>
      <c r="F28">
        <v>2394.39</v>
      </c>
    </row>
    <row r="29" spans="2:16" x14ac:dyDescent="0.3">
      <c r="B29">
        <v>16384</v>
      </c>
      <c r="C29">
        <v>3</v>
      </c>
      <c r="D29">
        <v>82.950900000000004</v>
      </c>
      <c r="E29">
        <v>20.7377</v>
      </c>
      <c r="F29">
        <v>2411.06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8470E-4C09-48A8-8A00-8B85370C291D}">
  <dimension ref="B1:P27"/>
  <sheetViews>
    <sheetView workbookViewId="0">
      <selection activeCell="K18" sqref="K18"/>
    </sheetView>
  </sheetViews>
  <sheetFormatPr defaultRowHeight="14.4" x14ac:dyDescent="0.3"/>
  <sheetData>
    <row r="1" spans="2:16" x14ac:dyDescent="0.3">
      <c r="B1" t="s">
        <v>14</v>
      </c>
      <c r="K1" t="s">
        <v>22</v>
      </c>
    </row>
    <row r="2" spans="2:1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K2" t="s">
        <v>17</v>
      </c>
      <c r="L2" t="s">
        <v>31</v>
      </c>
      <c r="M2" t="s">
        <v>18</v>
      </c>
      <c r="N2" t="s">
        <v>31</v>
      </c>
      <c r="O2" t="s">
        <v>19</v>
      </c>
      <c r="P2" t="s">
        <v>31</v>
      </c>
    </row>
    <row r="3" spans="2:16" x14ac:dyDescent="0.3">
      <c r="B3">
        <v>64</v>
      </c>
      <c r="C3">
        <v>1</v>
      </c>
      <c r="D3">
        <v>74.244900000000001</v>
      </c>
      <c r="E3">
        <v>2.4748000000000001</v>
      </c>
      <c r="F3">
        <v>20203.41</v>
      </c>
      <c r="K3">
        <f>AVERAGE(D3:D5)</f>
        <v>75.244000000000014</v>
      </c>
      <c r="L3">
        <f>_xlfn.STDEV.P(D3,D4,D5)</f>
        <v>0.83020479802677016</v>
      </c>
      <c r="M3">
        <f>AVERAGE(E3:E5)</f>
        <v>2.5081333333333333</v>
      </c>
      <c r="N3">
        <f>_xlfn.STDEV.P(E3,E4,E5)</f>
        <v>2.7690832819224201E-2</v>
      </c>
      <c r="O3">
        <f>AVERAGE(F3:F5)</f>
        <v>19937.570000000003</v>
      </c>
      <c r="P3">
        <f>_xlfn.STDEV.P(F3,F4,F5)</f>
        <v>219.85647090772645</v>
      </c>
    </row>
    <row r="4" spans="2:16" x14ac:dyDescent="0.3">
      <c r="B4">
        <v>64</v>
      </c>
      <c r="C4">
        <v>2</v>
      </c>
      <c r="D4">
        <v>76.277600000000007</v>
      </c>
      <c r="E4">
        <v>2.5426000000000002</v>
      </c>
      <c r="F4">
        <v>19665</v>
      </c>
      <c r="K4" t="s">
        <v>23</v>
      </c>
    </row>
    <row r="5" spans="2:16" x14ac:dyDescent="0.3">
      <c r="B5">
        <v>64</v>
      </c>
      <c r="C5">
        <v>3</v>
      </c>
      <c r="D5">
        <v>75.209500000000006</v>
      </c>
      <c r="E5">
        <v>2.5070000000000001</v>
      </c>
      <c r="F5">
        <v>19944.3</v>
      </c>
      <c r="K5" t="s">
        <v>17</v>
      </c>
      <c r="L5" t="s">
        <v>31</v>
      </c>
      <c r="M5" t="s">
        <v>18</v>
      </c>
      <c r="N5" t="s">
        <v>31</v>
      </c>
      <c r="O5" t="s">
        <v>19</v>
      </c>
      <c r="P5" t="s">
        <v>31</v>
      </c>
    </row>
    <row r="6" spans="2:16" x14ac:dyDescent="0.3">
      <c r="B6">
        <v>128</v>
      </c>
      <c r="C6">
        <v>1</v>
      </c>
      <c r="D6">
        <v>53.888800000000003</v>
      </c>
      <c r="E6">
        <v>1.7963</v>
      </c>
      <c r="F6">
        <v>27835.09</v>
      </c>
      <c r="K6">
        <f>AVERAGE(D6:D8)</f>
        <v>54.577400000000004</v>
      </c>
      <c r="L6">
        <f>_xlfn.STDEV.P(D6,D7,D8)</f>
        <v>0.55848155445517278</v>
      </c>
      <c r="M6">
        <f>AVERAGE(E6:E8)</f>
        <v>1.8192666666666666</v>
      </c>
      <c r="N6">
        <f>_xlfn.STDEV.P(E6,E7,E8)</f>
        <v>1.8617614120922072E-2</v>
      </c>
      <c r="O6">
        <f>AVERAGE(F6:F8)</f>
        <v>27486.783333333336</v>
      </c>
      <c r="P6">
        <f>_xlfn.STDEV.P(F6,F7,F8)</f>
        <v>281.36221332810277</v>
      </c>
    </row>
    <row r="7" spans="2:16" x14ac:dyDescent="0.3">
      <c r="B7">
        <v>128</v>
      </c>
      <c r="C7">
        <v>2</v>
      </c>
      <c r="D7">
        <v>54.5867</v>
      </c>
      <c r="E7">
        <v>1.8196000000000001</v>
      </c>
      <c r="F7">
        <v>27479.24</v>
      </c>
      <c r="K7" t="s">
        <v>24</v>
      </c>
    </row>
    <row r="8" spans="2:16" x14ac:dyDescent="0.3">
      <c r="B8">
        <v>128</v>
      </c>
      <c r="C8">
        <v>3</v>
      </c>
      <c r="D8">
        <v>55.256700000000002</v>
      </c>
      <c r="E8">
        <v>1.8419000000000001</v>
      </c>
      <c r="F8">
        <v>27146.02</v>
      </c>
      <c r="K8" t="s">
        <v>17</v>
      </c>
      <c r="L8" t="s">
        <v>31</v>
      </c>
      <c r="M8" t="s">
        <v>18</v>
      </c>
      <c r="N8" t="s">
        <v>31</v>
      </c>
      <c r="O8" t="s">
        <v>19</v>
      </c>
      <c r="P8" t="s">
        <v>31</v>
      </c>
    </row>
    <row r="9" spans="2:16" x14ac:dyDescent="0.3">
      <c r="B9">
        <v>256</v>
      </c>
      <c r="C9">
        <v>1</v>
      </c>
      <c r="D9">
        <v>56.873199999999997</v>
      </c>
      <c r="E9">
        <v>1.8957999999999999</v>
      </c>
      <c r="F9">
        <v>26374.44</v>
      </c>
      <c r="K9">
        <f>AVERAGE(D9:D11)</f>
        <v>56.715233333333337</v>
      </c>
      <c r="L9">
        <f>_xlfn.STDEV.P(D9,D10,D11)</f>
        <v>0.20351056210646257</v>
      </c>
      <c r="M9">
        <f>AVERAGE(E9:E11)</f>
        <v>1.8905000000000001</v>
      </c>
      <c r="N9">
        <f>_xlfn.STDEV.P(E9,E10,E11)</f>
        <v>6.8004901784111437E-3</v>
      </c>
      <c r="O9">
        <f>AVERAGE(F9:F11)</f>
        <v>26448.263333333336</v>
      </c>
      <c r="P9">
        <f>_xlfn.STDEV.P(F9,F10,F11)</f>
        <v>95.145656875246587</v>
      </c>
    </row>
    <row r="10" spans="2:16" x14ac:dyDescent="0.3">
      <c r="B10">
        <v>256</v>
      </c>
      <c r="C10">
        <v>2</v>
      </c>
      <c r="D10">
        <v>56.8446</v>
      </c>
      <c r="E10">
        <v>1.8948</v>
      </c>
      <c r="F10">
        <v>26387.75</v>
      </c>
      <c r="K10" t="s">
        <v>25</v>
      </c>
    </row>
    <row r="11" spans="2:16" x14ac:dyDescent="0.3">
      <c r="B11">
        <v>256</v>
      </c>
      <c r="C11">
        <v>3</v>
      </c>
      <c r="D11">
        <v>56.427900000000001</v>
      </c>
      <c r="E11">
        <v>1.8809</v>
      </c>
      <c r="F11">
        <v>26582.6</v>
      </c>
      <c r="K11" t="s">
        <v>17</v>
      </c>
      <c r="L11" t="s">
        <v>31</v>
      </c>
      <c r="M11" t="s">
        <v>18</v>
      </c>
      <c r="N11" t="s">
        <v>31</v>
      </c>
      <c r="O11" t="s">
        <v>19</v>
      </c>
      <c r="P11" t="s">
        <v>31</v>
      </c>
    </row>
    <row r="12" spans="2:16" x14ac:dyDescent="0.3">
      <c r="B12">
        <v>512</v>
      </c>
      <c r="C12">
        <v>1</v>
      </c>
      <c r="D12">
        <v>58.857799999999997</v>
      </c>
      <c r="E12">
        <v>1.9619</v>
      </c>
      <c r="F12">
        <v>25485.14</v>
      </c>
      <c r="K12">
        <f>AVERAGE(D12:D14)</f>
        <v>58.882466666666666</v>
      </c>
      <c r="L12">
        <f>_xlfn.STDEV.P(D12,D13,D14)</f>
        <v>9.7993004285455126E-2</v>
      </c>
      <c r="M12">
        <f>AVERAGE(E12:E14)</f>
        <v>1.9627333333333334</v>
      </c>
      <c r="N12">
        <f>_xlfn.STDEV.P(E12,E13,E14)</f>
        <v>3.2785498149164954E-3</v>
      </c>
      <c r="O12">
        <f>AVERAGE(F12:F14)</f>
        <v>25474.55</v>
      </c>
      <c r="P12">
        <f>_xlfn.STDEV.P(F12,F13,F14)</f>
        <v>42.377575044671119</v>
      </c>
    </row>
    <row r="13" spans="2:16" x14ac:dyDescent="0.3">
      <c r="B13">
        <v>512</v>
      </c>
      <c r="C13">
        <v>2</v>
      </c>
      <c r="D13">
        <v>58.776699999999998</v>
      </c>
      <c r="E13">
        <v>1.9592000000000001</v>
      </c>
      <c r="F13">
        <v>25520.34</v>
      </c>
      <c r="K13" t="s">
        <v>26</v>
      </c>
    </row>
    <row r="14" spans="2:16" x14ac:dyDescent="0.3">
      <c r="B14">
        <v>512</v>
      </c>
      <c r="C14">
        <v>3</v>
      </c>
      <c r="D14">
        <v>59.012900000000002</v>
      </c>
      <c r="E14">
        <v>1.9671000000000001</v>
      </c>
      <c r="F14">
        <v>25418.17</v>
      </c>
      <c r="K14" t="s">
        <v>17</v>
      </c>
      <c r="L14" t="s">
        <v>31</v>
      </c>
      <c r="M14" t="s">
        <v>18</v>
      </c>
      <c r="N14" t="s">
        <v>31</v>
      </c>
      <c r="O14" t="s">
        <v>19</v>
      </c>
      <c r="P14" t="s">
        <v>31</v>
      </c>
    </row>
    <row r="15" spans="2:16" x14ac:dyDescent="0.3">
      <c r="B15">
        <v>1024</v>
      </c>
      <c r="C15">
        <v>1</v>
      </c>
      <c r="D15">
        <v>60.144100000000002</v>
      </c>
      <c r="E15">
        <v>2.0047999999999999</v>
      </c>
      <c r="F15">
        <v>24940.1</v>
      </c>
      <c r="K15">
        <f>AVERAGE(D15:D17)</f>
        <v>60.12766666666667</v>
      </c>
      <c r="L15">
        <f>_xlfn.STDEV.P(D15,D16,D17)</f>
        <v>3.6943590633407089E-2</v>
      </c>
      <c r="M15">
        <f>AVERAGE(E15:E17)</f>
        <v>2.0042333333333331</v>
      </c>
      <c r="N15">
        <f>_xlfn.STDEV.P(E15,E16,E17)</f>
        <v>1.2498888839501433E-3</v>
      </c>
      <c r="O15">
        <f>AVERAGE(F15:F17)</f>
        <v>24946.929999999997</v>
      </c>
      <c r="P15">
        <f>_xlfn.STDEV.P(F15,F16,F17)</f>
        <v>15.342183677691587</v>
      </c>
    </row>
    <row r="16" spans="2:16" x14ac:dyDescent="0.3">
      <c r="B16">
        <v>1024</v>
      </c>
      <c r="C16">
        <v>2</v>
      </c>
      <c r="D16">
        <v>60.076500000000003</v>
      </c>
      <c r="E16">
        <v>2.0024999999999999</v>
      </c>
      <c r="F16">
        <v>24968.18</v>
      </c>
      <c r="K16" t="s">
        <v>27</v>
      </c>
    </row>
    <row r="17" spans="2:16" x14ac:dyDescent="0.3">
      <c r="B17">
        <v>1024</v>
      </c>
      <c r="C17">
        <v>3</v>
      </c>
      <c r="D17">
        <v>60.162399999999998</v>
      </c>
      <c r="E17">
        <v>2.0053999999999998</v>
      </c>
      <c r="F17">
        <v>24932.51</v>
      </c>
      <c r="K17" t="s">
        <v>17</v>
      </c>
      <c r="L17" t="s">
        <v>31</v>
      </c>
      <c r="M17" t="s">
        <v>18</v>
      </c>
      <c r="N17" t="s">
        <v>31</v>
      </c>
      <c r="O17" t="s">
        <v>19</v>
      </c>
      <c r="P17" t="s">
        <v>31</v>
      </c>
    </row>
    <row r="18" spans="2:16" x14ac:dyDescent="0.3">
      <c r="B18">
        <v>2048</v>
      </c>
      <c r="C18">
        <v>1</v>
      </c>
      <c r="D18">
        <v>59.566800000000001</v>
      </c>
      <c r="E18">
        <v>1.9856</v>
      </c>
      <c r="F18">
        <v>25181.83</v>
      </c>
      <c r="K18">
        <f>AVERAGE(D18:D20)</f>
        <v>59.691699999999997</v>
      </c>
      <c r="L18">
        <f>_xlfn.STDEV.P(D18,D19,D20)</f>
        <v>0.10530929050499939</v>
      </c>
      <c r="M18">
        <f>AVERAGE(E18:E20)</f>
        <v>1.9897333333333336</v>
      </c>
      <c r="N18">
        <f>_xlfn.STDEV.P(E18,E19,E20)</f>
        <v>3.4740306401770185E-3</v>
      </c>
      <c r="O18">
        <f>AVERAGE(F18:F20)</f>
        <v>25129.196666666667</v>
      </c>
      <c r="P18">
        <f>_xlfn.STDEV.P(F18,F19,F20)</f>
        <v>44.340585121183636</v>
      </c>
    </row>
    <row r="19" spans="2:16" x14ac:dyDescent="0.3">
      <c r="B19">
        <v>2048</v>
      </c>
      <c r="C19">
        <v>2</v>
      </c>
      <c r="D19">
        <v>59.683900000000001</v>
      </c>
      <c r="E19">
        <v>1.9895</v>
      </c>
      <c r="F19">
        <v>25132.400000000001</v>
      </c>
      <c r="K19" t="s">
        <v>28</v>
      </c>
    </row>
    <row r="20" spans="2:16" x14ac:dyDescent="0.3">
      <c r="B20">
        <v>2048</v>
      </c>
      <c r="C20">
        <v>3</v>
      </c>
      <c r="D20">
        <v>59.824399999999997</v>
      </c>
      <c r="E20">
        <v>1.9941</v>
      </c>
      <c r="F20">
        <v>25073.360000000001</v>
      </c>
      <c r="K20" t="s">
        <v>17</v>
      </c>
      <c r="L20" t="s">
        <v>31</v>
      </c>
      <c r="M20" t="s">
        <v>18</v>
      </c>
      <c r="N20" t="s">
        <v>31</v>
      </c>
      <c r="O20" t="s">
        <v>19</v>
      </c>
      <c r="P20" t="s">
        <v>31</v>
      </c>
    </row>
    <row r="21" spans="2:16" x14ac:dyDescent="0.3">
      <c r="K21" t="e">
        <f>AVERAGE(D21:D23)</f>
        <v>#DIV/0!</v>
      </c>
      <c r="L21" t="e">
        <f>_xlfn.STDEV.P(D21,D22,D23)</f>
        <v>#DIV/0!</v>
      </c>
      <c r="M21" t="e">
        <f>AVERAGE(E21:E23)</f>
        <v>#DIV/0!</v>
      </c>
      <c r="N21" t="e">
        <f>_xlfn.STDEV.P(E21,E22,E23)</f>
        <v>#DIV/0!</v>
      </c>
      <c r="O21" t="e">
        <f>AVERAGE(F21:F23)</f>
        <v>#DIV/0!</v>
      </c>
      <c r="P21" t="e">
        <f>_xlfn.STDEV.P(F21,F22,F23)</f>
        <v>#DIV/0!</v>
      </c>
    </row>
    <row r="22" spans="2:16" x14ac:dyDescent="0.3">
      <c r="K22" t="s">
        <v>29</v>
      </c>
    </row>
    <row r="23" spans="2:16" x14ac:dyDescent="0.3">
      <c r="K23" t="s">
        <v>17</v>
      </c>
      <c r="L23" t="s">
        <v>31</v>
      </c>
      <c r="M23" t="s">
        <v>18</v>
      </c>
      <c r="N23" t="s">
        <v>31</v>
      </c>
      <c r="O23" t="s">
        <v>19</v>
      </c>
      <c r="P23" t="s">
        <v>31</v>
      </c>
    </row>
    <row r="24" spans="2:16" x14ac:dyDescent="0.3">
      <c r="K24" t="e">
        <f>AVERAGE(D24:D26)</f>
        <v>#DIV/0!</v>
      </c>
      <c r="L24" t="e">
        <f>_xlfn.STDEV.P(D24,D25,D26)</f>
        <v>#DIV/0!</v>
      </c>
      <c r="M24" t="e">
        <f>AVERAGE(E24:E26)</f>
        <v>#DIV/0!</v>
      </c>
      <c r="N24" t="e">
        <f>_xlfn.STDEV.P(E24,E25,E26)</f>
        <v>#DIV/0!</v>
      </c>
      <c r="O24" t="e">
        <f>AVERAGE(F24:F26)</f>
        <v>#DIV/0!</v>
      </c>
      <c r="P24" t="e">
        <f>_xlfn.STDEV.P(F24,F25,F26)</f>
        <v>#DIV/0!</v>
      </c>
    </row>
    <row r="25" spans="2:16" x14ac:dyDescent="0.3">
      <c r="K25" t="s">
        <v>30</v>
      </c>
    </row>
    <row r="26" spans="2:16" x14ac:dyDescent="0.3">
      <c r="K26" t="s">
        <v>17</v>
      </c>
      <c r="L26" t="s">
        <v>31</v>
      </c>
      <c r="M26" t="s">
        <v>18</v>
      </c>
      <c r="N26" t="s">
        <v>31</v>
      </c>
      <c r="O26" t="s">
        <v>19</v>
      </c>
      <c r="P26" t="s">
        <v>31</v>
      </c>
    </row>
    <row r="27" spans="2:16" x14ac:dyDescent="0.3">
      <c r="K27" t="e">
        <f>AVERAGE(D27:D29)</f>
        <v>#DIV/0!</v>
      </c>
      <c r="L27" t="e">
        <f>_xlfn.STDEV.P(D27,D28,D29)</f>
        <v>#DIV/0!</v>
      </c>
      <c r="M27" t="e">
        <f>AVERAGE(E27:E29)</f>
        <v>#DIV/0!</v>
      </c>
      <c r="N27" t="e">
        <f>_xlfn.STDEV.P(E27,E28,E29)</f>
        <v>#DIV/0!</v>
      </c>
      <c r="O27" t="e">
        <f>AVERAGE(F27:F29)</f>
        <v>#DIV/0!</v>
      </c>
      <c r="P27" t="e">
        <f>_xlfn.STDEV.P(F27,F28,F29)</f>
        <v>#DIV/0!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DCFE-8FDA-4FC9-9AF9-4AB39B02324D}">
  <dimension ref="B1:P26"/>
  <sheetViews>
    <sheetView workbookViewId="0">
      <selection activeCell="P24" sqref="K1:P24"/>
    </sheetView>
  </sheetViews>
  <sheetFormatPr defaultRowHeight="14.4" x14ac:dyDescent="0.3"/>
  <sheetData>
    <row r="1" spans="2:16" x14ac:dyDescent="0.3">
      <c r="B1" t="s">
        <v>15</v>
      </c>
      <c r="K1" t="s">
        <v>20</v>
      </c>
    </row>
    <row r="2" spans="2:1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K2" t="s">
        <v>17</v>
      </c>
      <c r="L2" t="s">
        <v>31</v>
      </c>
      <c r="M2" t="s">
        <v>18</v>
      </c>
      <c r="N2" t="s">
        <v>31</v>
      </c>
      <c r="O2" t="s">
        <v>19</v>
      </c>
      <c r="P2" t="s">
        <v>31</v>
      </c>
    </row>
    <row r="3" spans="2:16" x14ac:dyDescent="0.3">
      <c r="B3">
        <v>16</v>
      </c>
      <c r="C3">
        <v>1</v>
      </c>
      <c r="D3">
        <v>63.695999999999998</v>
      </c>
      <c r="E3">
        <v>15.923999999999999</v>
      </c>
      <c r="F3">
        <v>157</v>
      </c>
      <c r="K3">
        <f>AVERAGE(D3:D5)</f>
        <v>62.612533333333339</v>
      </c>
      <c r="L3">
        <f>_xlfn.STDEV.P(D3,D4,D5)</f>
        <v>0.85395902061450568</v>
      </c>
      <c r="M3">
        <f>AVERAGE(E3:E5)</f>
        <v>15.653133333333335</v>
      </c>
      <c r="N3">
        <f>_xlfn.STDEV.P(E3,E4,E5)</f>
        <v>0.21348975515362642</v>
      </c>
      <c r="O3">
        <f>AVERAGE(F3:F5)</f>
        <v>159.74333333333331</v>
      </c>
      <c r="P3">
        <f>_xlfn.STDEV.P(F3,F4,F5)</f>
        <v>2.1713948410078618</v>
      </c>
    </row>
    <row r="4" spans="2:16" x14ac:dyDescent="0.3">
      <c r="B4">
        <v>16</v>
      </c>
      <c r="C4">
        <v>2</v>
      </c>
      <c r="D4">
        <v>62.532800000000002</v>
      </c>
      <c r="E4">
        <v>15.6332</v>
      </c>
      <c r="F4">
        <v>159.91999999999999</v>
      </c>
      <c r="K4" t="s">
        <v>21</v>
      </c>
    </row>
    <row r="5" spans="2:16" x14ac:dyDescent="0.3">
      <c r="B5">
        <v>16</v>
      </c>
      <c r="C5">
        <v>3</v>
      </c>
      <c r="D5">
        <v>61.608800000000002</v>
      </c>
      <c r="E5">
        <v>15.402200000000001</v>
      </c>
      <c r="F5">
        <v>162.31</v>
      </c>
      <c r="K5" t="s">
        <v>17</v>
      </c>
      <c r="L5" t="s">
        <v>31</v>
      </c>
      <c r="M5" t="s">
        <v>18</v>
      </c>
      <c r="N5" t="s">
        <v>31</v>
      </c>
      <c r="O5" t="s">
        <v>19</v>
      </c>
      <c r="P5" t="s">
        <v>31</v>
      </c>
    </row>
    <row r="6" spans="2:16" x14ac:dyDescent="0.3">
      <c r="B6">
        <v>32</v>
      </c>
      <c r="C6">
        <v>1</v>
      </c>
      <c r="D6">
        <v>250.05889999999999</v>
      </c>
      <c r="E6">
        <v>62.514699999999998</v>
      </c>
      <c r="F6">
        <v>39.99</v>
      </c>
      <c r="K6">
        <f>AVERAGE(D6:D8)</f>
        <v>201.72866666666664</v>
      </c>
      <c r="L6">
        <f>_xlfn.STDEV.P(D6,D7,D8)</f>
        <v>38.224391090535732</v>
      </c>
      <c r="M6">
        <f>AVERAGE(E6:E8)</f>
        <v>50.432133333333333</v>
      </c>
      <c r="N6">
        <f>_xlfn.STDEV.P(E6,E7,E8)</f>
        <v>9.556107612877133</v>
      </c>
      <c r="O6">
        <f>AVERAGE(F6:F8)</f>
        <v>51.406666666666666</v>
      </c>
      <c r="P6">
        <f>_xlfn.STDEV.P(F6,F7,F8)</f>
        <v>9.7724181017574185</v>
      </c>
    </row>
    <row r="7" spans="2:16" x14ac:dyDescent="0.3">
      <c r="B7">
        <v>32</v>
      </c>
      <c r="C7">
        <v>2</v>
      </c>
      <c r="D7">
        <v>198.53489999999999</v>
      </c>
      <c r="E7">
        <v>49.633699999999997</v>
      </c>
      <c r="F7">
        <v>50.37</v>
      </c>
      <c r="K7" t="s">
        <v>22</v>
      </c>
    </row>
    <row r="8" spans="2:16" x14ac:dyDescent="0.3">
      <c r="B8">
        <v>32</v>
      </c>
      <c r="C8">
        <v>3</v>
      </c>
      <c r="D8">
        <v>156.59219999999999</v>
      </c>
      <c r="E8">
        <v>39.148000000000003</v>
      </c>
      <c r="F8">
        <v>63.86</v>
      </c>
      <c r="K8" t="s">
        <v>17</v>
      </c>
      <c r="L8" t="s">
        <v>31</v>
      </c>
      <c r="M8" t="s">
        <v>18</v>
      </c>
      <c r="N8" t="s">
        <v>31</v>
      </c>
      <c r="O8" t="s">
        <v>19</v>
      </c>
      <c r="P8" t="s">
        <v>31</v>
      </c>
    </row>
    <row r="9" spans="2:16" x14ac:dyDescent="0.3">
      <c r="B9">
        <v>64</v>
      </c>
      <c r="C9">
        <v>1</v>
      </c>
      <c r="D9">
        <v>253.68530000000001</v>
      </c>
      <c r="E9">
        <v>63.421300000000002</v>
      </c>
      <c r="F9">
        <v>39.42</v>
      </c>
      <c r="K9">
        <f>AVERAGE(D9:D11)</f>
        <v>245.30719999999999</v>
      </c>
      <c r="L9">
        <f>_xlfn.STDEV.P(D9,D10,D11)</f>
        <v>26.297361766661172</v>
      </c>
      <c r="M9">
        <f>AVERAGE(E9:E11)</f>
        <v>61.326799999999999</v>
      </c>
      <c r="N9">
        <f>_xlfn.STDEV.P(E9,E10,E11)</f>
        <v>6.5743662908805529</v>
      </c>
      <c r="O9">
        <f>AVERAGE(F9:F11)</f>
        <v>41.266666666666666</v>
      </c>
      <c r="P9">
        <f>_xlfn.STDEV.P(F9,F10,F11)</f>
        <v>4.6688851869465742</v>
      </c>
    </row>
    <row r="10" spans="2:16" x14ac:dyDescent="0.3">
      <c r="B10">
        <v>64</v>
      </c>
      <c r="C10">
        <v>2</v>
      </c>
      <c r="D10">
        <v>209.73849999999999</v>
      </c>
      <c r="E10">
        <v>52.434600000000003</v>
      </c>
      <c r="F10">
        <v>47.68</v>
      </c>
      <c r="K10" t="s">
        <v>23</v>
      </c>
    </row>
    <row r="11" spans="2:16" x14ac:dyDescent="0.3">
      <c r="B11">
        <v>64</v>
      </c>
      <c r="C11">
        <v>3</v>
      </c>
      <c r="D11">
        <v>272.49779999999998</v>
      </c>
      <c r="E11">
        <v>68.124499999999998</v>
      </c>
      <c r="F11">
        <v>36.700000000000003</v>
      </c>
      <c r="K11" t="s">
        <v>17</v>
      </c>
      <c r="L11" t="s">
        <v>31</v>
      </c>
      <c r="M11" t="s">
        <v>18</v>
      </c>
      <c r="N11" t="s">
        <v>31</v>
      </c>
      <c r="O11" t="s">
        <v>19</v>
      </c>
      <c r="P11" t="s">
        <v>31</v>
      </c>
    </row>
    <row r="12" spans="2:16" x14ac:dyDescent="0.3">
      <c r="B12">
        <v>128</v>
      </c>
      <c r="C12">
        <v>1</v>
      </c>
      <c r="D12">
        <v>103.7259</v>
      </c>
      <c r="E12">
        <v>25.9315</v>
      </c>
      <c r="F12">
        <v>96.41</v>
      </c>
      <c r="K12">
        <f>AVERAGE(D12:D14)</f>
        <v>122.3503</v>
      </c>
      <c r="L12">
        <f>_xlfn.STDEV.P(D12,D13,D14)</f>
        <v>21.980102003554585</v>
      </c>
      <c r="M12">
        <f>AVERAGE(E12:E14)</f>
        <v>30.587599999999998</v>
      </c>
      <c r="N12">
        <f>_xlfn.STDEV.P(E12,E13,E14)</f>
        <v>5.4950091580147964</v>
      </c>
      <c r="O12">
        <f>AVERAGE(F12:F14)</f>
        <v>84.166666666666671</v>
      </c>
      <c r="P12">
        <f>_xlfn.STDEV.P(F12,F13,F14)</f>
        <v>13.555442531404898</v>
      </c>
    </row>
    <row r="13" spans="2:16" x14ac:dyDescent="0.3">
      <c r="B13">
        <v>128</v>
      </c>
      <c r="C13">
        <v>2</v>
      </c>
      <c r="D13">
        <v>153.21559999999999</v>
      </c>
      <c r="E13">
        <v>38.303899999999999</v>
      </c>
      <c r="F13">
        <v>65.27</v>
      </c>
      <c r="K13" t="s">
        <v>24</v>
      </c>
    </row>
    <row r="14" spans="2:16" x14ac:dyDescent="0.3">
      <c r="B14">
        <v>128</v>
      </c>
      <c r="C14">
        <v>3</v>
      </c>
      <c r="D14">
        <v>110.10939999999999</v>
      </c>
      <c r="E14">
        <v>27.5274</v>
      </c>
      <c r="F14">
        <v>90.82</v>
      </c>
      <c r="K14" t="s">
        <v>17</v>
      </c>
      <c r="L14" t="s">
        <v>31</v>
      </c>
      <c r="M14" t="s">
        <v>18</v>
      </c>
      <c r="N14" t="s">
        <v>31</v>
      </c>
      <c r="O14" t="s">
        <v>19</v>
      </c>
      <c r="P14" t="s">
        <v>31</v>
      </c>
    </row>
    <row r="15" spans="2:16" x14ac:dyDescent="0.3">
      <c r="B15">
        <v>256</v>
      </c>
      <c r="C15">
        <v>1</v>
      </c>
      <c r="D15">
        <v>136.5608</v>
      </c>
      <c r="E15">
        <v>34.1402</v>
      </c>
      <c r="F15">
        <v>73.23</v>
      </c>
      <c r="K15">
        <f>AVERAGE(D15:D17)</f>
        <v>135.22696666666667</v>
      </c>
      <c r="L15">
        <f>_xlfn.STDEV.P(D15,D16,D17)</f>
        <v>1.1560050009503526</v>
      </c>
      <c r="M15">
        <f>AVERAGE(E15:E17)</f>
        <v>33.806733333333334</v>
      </c>
      <c r="N15">
        <f>_xlfn.STDEV.P(E15,E16,E17)</f>
        <v>0.28902376295999632</v>
      </c>
      <c r="O15">
        <f>AVERAGE(F15:F17)</f>
        <v>73.956666666666663</v>
      </c>
      <c r="P15">
        <f>_xlfn.STDEV.P(F15,F16,F17)</f>
        <v>0.631682057859979</v>
      </c>
    </row>
    <row r="16" spans="2:16" x14ac:dyDescent="0.3">
      <c r="B16">
        <v>256</v>
      </c>
      <c r="C16">
        <v>2</v>
      </c>
      <c r="D16">
        <v>135.37870000000001</v>
      </c>
      <c r="E16">
        <v>33.844700000000003</v>
      </c>
      <c r="F16">
        <v>73.87</v>
      </c>
      <c r="K16" t="s">
        <v>25</v>
      </c>
    </row>
    <row r="17" spans="2:16" x14ac:dyDescent="0.3">
      <c r="B17">
        <v>256</v>
      </c>
      <c r="C17">
        <v>3</v>
      </c>
      <c r="D17">
        <v>133.7414</v>
      </c>
      <c r="E17">
        <v>33.435299999999998</v>
      </c>
      <c r="F17">
        <v>74.77</v>
      </c>
      <c r="K17" t="s">
        <v>17</v>
      </c>
      <c r="L17" t="s">
        <v>31</v>
      </c>
      <c r="M17" t="s">
        <v>18</v>
      </c>
      <c r="N17" t="s">
        <v>31</v>
      </c>
      <c r="O17" t="s">
        <v>19</v>
      </c>
      <c r="P17" t="s">
        <v>31</v>
      </c>
    </row>
    <row r="18" spans="2:16" x14ac:dyDescent="0.3">
      <c r="B18">
        <v>512</v>
      </c>
      <c r="C18">
        <v>1</v>
      </c>
      <c r="D18">
        <v>81.822999999999993</v>
      </c>
      <c r="E18">
        <v>20.4557</v>
      </c>
      <c r="F18">
        <v>122.22</v>
      </c>
      <c r="K18">
        <f>AVERAGE(D18:D20)</f>
        <v>82.513999999999996</v>
      </c>
      <c r="L18">
        <f>_xlfn.STDEV.P(D18,D19,D20)</f>
        <v>4.6914648678921864</v>
      </c>
      <c r="M18">
        <f>AVERAGE(E18:E20)</f>
        <v>20.628466666666665</v>
      </c>
      <c r="N18">
        <f>_xlfn.STDEV.P(E18,E19,E20)</f>
        <v>1.1728674444378704</v>
      </c>
      <c r="O18">
        <f>AVERAGE(F18:F20)</f>
        <v>121.58333333333333</v>
      </c>
      <c r="P18">
        <f>_xlfn.STDEV.P(F18,F19,F20)</f>
        <v>6.8448147446727026</v>
      </c>
    </row>
    <row r="19" spans="2:16" x14ac:dyDescent="0.3">
      <c r="B19">
        <v>512</v>
      </c>
      <c r="C19">
        <v>2</v>
      </c>
      <c r="D19">
        <v>88.574100000000001</v>
      </c>
      <c r="E19">
        <v>22.1435</v>
      </c>
      <c r="F19">
        <v>112.9</v>
      </c>
      <c r="K19" t="s">
        <v>26</v>
      </c>
    </row>
    <row r="20" spans="2:16" x14ac:dyDescent="0.3">
      <c r="B20">
        <v>512</v>
      </c>
      <c r="C20">
        <v>3</v>
      </c>
      <c r="D20">
        <v>77.144900000000007</v>
      </c>
      <c r="E20">
        <v>19.286200000000001</v>
      </c>
      <c r="F20">
        <v>129.63</v>
      </c>
      <c r="K20" t="s">
        <v>17</v>
      </c>
      <c r="L20" t="s">
        <v>31</v>
      </c>
      <c r="M20" t="s">
        <v>18</v>
      </c>
      <c r="N20" t="s">
        <v>31</v>
      </c>
      <c r="O20" t="s">
        <v>19</v>
      </c>
      <c r="P20" t="s">
        <v>31</v>
      </c>
    </row>
    <row r="21" spans="2:16" x14ac:dyDescent="0.3">
      <c r="B21">
        <v>1024</v>
      </c>
      <c r="C21">
        <v>1</v>
      </c>
      <c r="D21">
        <v>50.087499999999999</v>
      </c>
      <c r="E21">
        <v>12.5219</v>
      </c>
      <c r="F21">
        <v>199.65</v>
      </c>
      <c r="K21">
        <f>AVERAGE(D21:D23)</f>
        <v>52.148166666666668</v>
      </c>
      <c r="L21">
        <f>_xlfn.STDEV.P(D21,D22,D23)</f>
        <v>2.4486492022246797</v>
      </c>
      <c r="M21">
        <f>AVERAGE(E21:E23)</f>
        <v>13.037066666666666</v>
      </c>
      <c r="N21">
        <f>_xlfn.STDEV.P(E21,E22,E23)</f>
        <v>0.61216230055616938</v>
      </c>
      <c r="O21">
        <f>AVERAGE(F21:F23)</f>
        <v>192.17</v>
      </c>
      <c r="P21">
        <f>_xlfn.STDEV.P(F21,F22,F23)</f>
        <v>8.7519293111100254</v>
      </c>
    </row>
    <row r="22" spans="2:16" x14ac:dyDescent="0.3">
      <c r="B22">
        <v>1024</v>
      </c>
      <c r="C22">
        <v>2</v>
      </c>
      <c r="D22">
        <v>50.768300000000004</v>
      </c>
      <c r="E22">
        <v>12.6921</v>
      </c>
      <c r="F22">
        <v>196.97</v>
      </c>
      <c r="K22" t="s">
        <v>27</v>
      </c>
    </row>
    <row r="23" spans="2:16" x14ac:dyDescent="0.3">
      <c r="B23">
        <v>1024</v>
      </c>
      <c r="C23">
        <v>3</v>
      </c>
      <c r="D23">
        <v>55.588700000000003</v>
      </c>
      <c r="E23">
        <v>13.8972</v>
      </c>
      <c r="F23">
        <v>179.89</v>
      </c>
      <c r="K23" t="s">
        <v>17</v>
      </c>
      <c r="L23" t="s">
        <v>31</v>
      </c>
      <c r="M23" t="s">
        <v>18</v>
      </c>
      <c r="N23" t="s">
        <v>31</v>
      </c>
      <c r="O23" t="s">
        <v>19</v>
      </c>
      <c r="P23" t="s">
        <v>31</v>
      </c>
    </row>
    <row r="24" spans="2:16" x14ac:dyDescent="0.3">
      <c r="B24">
        <v>2048</v>
      </c>
      <c r="C24">
        <v>1</v>
      </c>
      <c r="D24">
        <v>29.520700000000001</v>
      </c>
      <c r="E24">
        <v>7.3802000000000003</v>
      </c>
      <c r="F24">
        <v>338.75</v>
      </c>
      <c r="K24">
        <f>AVERAGE(D24:D26)</f>
        <v>29.297566666666665</v>
      </c>
      <c r="L24">
        <f>_xlfn.STDEV.P(D24,D25,D26)</f>
        <v>2.6827524874443589</v>
      </c>
      <c r="M24">
        <f>AVERAGE(E24:E26)</f>
        <v>7.3243999999999998</v>
      </c>
      <c r="N24">
        <f>_xlfn.STDEV.P(E24,E25,E26)</f>
        <v>0.6706888150749698</v>
      </c>
      <c r="O24">
        <f>AVERAGE(F24:F26)</f>
        <v>344.25666666666666</v>
      </c>
      <c r="P24">
        <f>_xlfn.STDEV.P(F24,F25,F26)</f>
        <v>32.080550009139323</v>
      </c>
    </row>
    <row r="25" spans="2:16" x14ac:dyDescent="0.3">
      <c r="B25">
        <v>2048</v>
      </c>
      <c r="C25">
        <v>2</v>
      </c>
      <c r="D25">
        <v>25.905999999999999</v>
      </c>
      <c r="E25">
        <v>6.4764999999999997</v>
      </c>
      <c r="F25">
        <v>386.01</v>
      </c>
    </row>
    <row r="26" spans="2:16" x14ac:dyDescent="0.3">
      <c r="B26">
        <v>2048</v>
      </c>
      <c r="C26">
        <v>3</v>
      </c>
      <c r="D26">
        <v>32.466000000000001</v>
      </c>
      <c r="E26">
        <v>8.1165000000000003</v>
      </c>
      <c r="F26">
        <v>308.01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77BE6-441B-4702-9E63-87B033EBB573}">
  <dimension ref="B1:P26"/>
  <sheetViews>
    <sheetView workbookViewId="0">
      <selection activeCell="P24" sqref="K1:P24"/>
    </sheetView>
  </sheetViews>
  <sheetFormatPr defaultRowHeight="14.4" x14ac:dyDescent="0.3"/>
  <cols>
    <col min="6" max="6" width="11.21875" customWidth="1"/>
    <col min="7" max="7" width="11.44140625" customWidth="1"/>
    <col min="8" max="8" width="8.88671875" customWidth="1"/>
    <col min="11" max="11" width="12.44140625" customWidth="1"/>
    <col min="12" max="12" width="12.109375" customWidth="1"/>
    <col min="13" max="13" width="14.88671875" customWidth="1"/>
    <col min="14" max="14" width="12" bestFit="1" customWidth="1"/>
  </cols>
  <sheetData>
    <row r="1" spans="2:16" x14ac:dyDescent="0.3">
      <c r="B1" t="s">
        <v>16</v>
      </c>
      <c r="K1" t="s">
        <v>20</v>
      </c>
    </row>
    <row r="2" spans="2:1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K2" t="s">
        <v>17</v>
      </c>
      <c r="L2" t="s">
        <v>31</v>
      </c>
      <c r="M2" t="s">
        <v>18</v>
      </c>
      <c r="N2" t="s">
        <v>31</v>
      </c>
      <c r="O2" t="s">
        <v>19</v>
      </c>
      <c r="P2" t="s">
        <v>31</v>
      </c>
    </row>
    <row r="3" spans="2:16" x14ac:dyDescent="0.3">
      <c r="B3">
        <v>16</v>
      </c>
      <c r="C3">
        <v>1</v>
      </c>
      <c r="D3">
        <v>65.389600000000002</v>
      </c>
      <c r="E3">
        <v>1.6347</v>
      </c>
      <c r="F3">
        <v>1529.29</v>
      </c>
      <c r="K3">
        <f>AVERAGE(D3:D5)</f>
        <v>65.64673333333333</v>
      </c>
      <c r="L3">
        <f>_xlfn.STDEV.P(D3,D4,D5)</f>
        <v>0.3072889230385969</v>
      </c>
      <c r="M3">
        <f>AVERAGE(E3:E5)</f>
        <v>1.6411666666666667</v>
      </c>
      <c r="N3">
        <f>_xlfn.STDEV.P(E3,E4,E5)</f>
        <v>7.708148646436098E-3</v>
      </c>
      <c r="O3">
        <f>AVERAGE(F3:F5)</f>
        <v>1523.3366666666668</v>
      </c>
      <c r="P3">
        <f>_xlfn.STDEV.P(F3,F4,F5)</f>
        <v>7.1050091875771511</v>
      </c>
    </row>
    <row r="4" spans="2:16" x14ac:dyDescent="0.3">
      <c r="B4">
        <v>16</v>
      </c>
      <c r="C4">
        <v>2</v>
      </c>
      <c r="D4">
        <v>65.471900000000005</v>
      </c>
      <c r="E4">
        <v>1.6368</v>
      </c>
      <c r="F4">
        <v>1527.37</v>
      </c>
      <c r="K4" t="s">
        <v>21</v>
      </c>
    </row>
    <row r="5" spans="2:16" x14ac:dyDescent="0.3">
      <c r="B5">
        <v>16</v>
      </c>
      <c r="C5">
        <v>3</v>
      </c>
      <c r="D5">
        <v>66.078699999999998</v>
      </c>
      <c r="E5">
        <v>1.6519999999999999</v>
      </c>
      <c r="F5">
        <v>1513.35</v>
      </c>
      <c r="K5" t="s">
        <v>17</v>
      </c>
      <c r="L5" t="s">
        <v>31</v>
      </c>
      <c r="M5" t="s">
        <v>18</v>
      </c>
      <c r="N5" t="s">
        <v>31</v>
      </c>
      <c r="O5" t="s">
        <v>19</v>
      </c>
      <c r="P5" t="s">
        <v>31</v>
      </c>
    </row>
    <row r="6" spans="2:16" x14ac:dyDescent="0.3">
      <c r="B6">
        <v>32</v>
      </c>
      <c r="C6">
        <v>1</v>
      </c>
      <c r="D6">
        <v>50.5837</v>
      </c>
      <c r="E6">
        <v>1.2645999999999999</v>
      </c>
      <c r="F6">
        <v>1976.92</v>
      </c>
      <c r="K6">
        <f>AVERAGE(D6:D8)</f>
        <v>50.484533333333331</v>
      </c>
      <c r="L6">
        <f>_xlfn.STDEV.P(D6,D7,D8)</f>
        <v>0.1567877191902764</v>
      </c>
      <c r="M6">
        <f>AVERAGE(E6:E8)</f>
        <v>1.2621333333333333</v>
      </c>
      <c r="N6">
        <f>_xlfn.STDEV.P(E6,E7,E8)</f>
        <v>3.920317447463819E-3</v>
      </c>
      <c r="O6">
        <f>AVERAGE(F6:F8)</f>
        <v>1980.823333333333</v>
      </c>
      <c r="P6">
        <f>_xlfn.STDEV.P(F6,F7,F8)</f>
        <v>6.1674972413631393</v>
      </c>
    </row>
    <row r="7" spans="2:16" x14ac:dyDescent="0.3">
      <c r="B7">
        <v>32</v>
      </c>
      <c r="C7">
        <v>2</v>
      </c>
      <c r="D7">
        <v>50.263199999999998</v>
      </c>
      <c r="E7">
        <v>1.2565999999999999</v>
      </c>
      <c r="F7">
        <v>1989.53</v>
      </c>
      <c r="K7" t="s">
        <v>22</v>
      </c>
    </row>
    <row r="8" spans="2:16" x14ac:dyDescent="0.3">
      <c r="B8">
        <v>32</v>
      </c>
      <c r="C8">
        <v>3</v>
      </c>
      <c r="D8">
        <v>50.606699999999996</v>
      </c>
      <c r="E8">
        <v>1.2652000000000001</v>
      </c>
      <c r="F8">
        <v>1976.02</v>
      </c>
      <c r="K8" t="s">
        <v>17</v>
      </c>
      <c r="L8" t="s">
        <v>31</v>
      </c>
      <c r="M8" t="s">
        <v>18</v>
      </c>
      <c r="N8" t="s">
        <v>31</v>
      </c>
      <c r="O8" t="s">
        <v>19</v>
      </c>
      <c r="P8" t="s">
        <v>31</v>
      </c>
    </row>
    <row r="9" spans="2:16" x14ac:dyDescent="0.3">
      <c r="B9">
        <v>64</v>
      </c>
      <c r="C9">
        <v>1</v>
      </c>
      <c r="D9">
        <v>30.480899999999998</v>
      </c>
      <c r="E9">
        <v>0.76200000000000001</v>
      </c>
      <c r="F9">
        <v>3280.74</v>
      </c>
      <c r="K9">
        <f>AVERAGE(D9:D11)</f>
        <v>30.179966666666662</v>
      </c>
      <c r="L9">
        <f>_xlfn.STDEV.P(D9,D10,D11)</f>
        <v>0.23994762391451613</v>
      </c>
      <c r="M9">
        <f>AVERAGE(E9:E11)</f>
        <v>0.75446666666666662</v>
      </c>
      <c r="N9">
        <f>_xlfn.STDEV.P(E9,E10,E11)</f>
        <v>6.0068479439904622E-3</v>
      </c>
      <c r="O9">
        <f>AVERAGE(F9:F11)</f>
        <v>3313.6666666666665</v>
      </c>
      <c r="P9">
        <f>_xlfn.STDEV.P(F9,F10,F11)</f>
        <v>26.330307421085973</v>
      </c>
    </row>
    <row r="10" spans="2:16" x14ac:dyDescent="0.3">
      <c r="B10">
        <v>64</v>
      </c>
      <c r="C10">
        <v>2</v>
      </c>
      <c r="D10">
        <v>30.165299999999998</v>
      </c>
      <c r="E10">
        <v>0.75409999999999999</v>
      </c>
      <c r="F10">
        <v>3315.07</v>
      </c>
      <c r="K10" t="s">
        <v>23</v>
      </c>
    </row>
    <row r="11" spans="2:16" x14ac:dyDescent="0.3">
      <c r="B11">
        <v>64</v>
      </c>
      <c r="C11">
        <v>3</v>
      </c>
      <c r="D11">
        <v>29.893699999999999</v>
      </c>
      <c r="E11">
        <v>0.74729999999999996</v>
      </c>
      <c r="F11">
        <v>3345.19</v>
      </c>
      <c r="K11" t="s">
        <v>17</v>
      </c>
      <c r="L11" t="s">
        <v>31</v>
      </c>
      <c r="M11" t="s">
        <v>18</v>
      </c>
      <c r="N11" t="s">
        <v>31</v>
      </c>
      <c r="O11" t="s">
        <v>19</v>
      </c>
      <c r="P11" t="s">
        <v>31</v>
      </c>
    </row>
    <row r="12" spans="2:16" x14ac:dyDescent="0.3">
      <c r="B12">
        <v>128</v>
      </c>
      <c r="C12">
        <v>1</v>
      </c>
      <c r="D12">
        <v>19.9754</v>
      </c>
      <c r="E12">
        <v>0.49940000000000001</v>
      </c>
      <c r="F12">
        <v>5006.1499999999996</v>
      </c>
      <c r="K12">
        <f>AVERAGE(D12:D14)</f>
        <v>19.977399999999999</v>
      </c>
      <c r="L12">
        <f>_xlfn.STDEV.P(D12,D13,D14)</f>
        <v>0.14362871115019712</v>
      </c>
      <c r="M12">
        <f>AVERAGE(E12:E14)</f>
        <v>0.49946666666666673</v>
      </c>
      <c r="N12">
        <f>_xlfn.STDEV.P(E12,E13,E14)</f>
        <v>3.5928942217784508E-3</v>
      </c>
      <c r="O12">
        <f>AVERAGE(F12:F14)</f>
        <v>5005.916666666667</v>
      </c>
      <c r="P12">
        <f>_xlfn.STDEV.P(F12,F13,F14)</f>
        <v>35.983382584496304</v>
      </c>
    </row>
    <row r="13" spans="2:16" x14ac:dyDescent="0.3">
      <c r="B13">
        <v>128</v>
      </c>
      <c r="C13">
        <v>2</v>
      </c>
      <c r="D13">
        <v>20.154299999999999</v>
      </c>
      <c r="E13">
        <v>0.50390000000000001</v>
      </c>
      <c r="F13">
        <v>4961.7299999999996</v>
      </c>
      <c r="K13" t="s">
        <v>24</v>
      </c>
    </row>
    <row r="14" spans="2:16" x14ac:dyDescent="0.3">
      <c r="B14">
        <v>128</v>
      </c>
      <c r="C14">
        <v>3</v>
      </c>
      <c r="D14">
        <v>19.802499999999998</v>
      </c>
      <c r="E14">
        <v>0.49509999999999998</v>
      </c>
      <c r="F14">
        <v>5049.87</v>
      </c>
      <c r="K14" t="s">
        <v>17</v>
      </c>
      <c r="L14" t="s">
        <v>31</v>
      </c>
      <c r="M14" t="s">
        <v>18</v>
      </c>
      <c r="N14" t="s">
        <v>31</v>
      </c>
      <c r="O14" t="s">
        <v>19</v>
      </c>
      <c r="P14" t="s">
        <v>31</v>
      </c>
    </row>
    <row r="15" spans="2:16" x14ac:dyDescent="0.3">
      <c r="B15">
        <v>256</v>
      </c>
      <c r="C15">
        <v>1</v>
      </c>
      <c r="D15">
        <v>16.0456</v>
      </c>
      <c r="E15">
        <v>0.40110000000000001</v>
      </c>
      <c r="F15">
        <v>6232.25</v>
      </c>
      <c r="K15">
        <f>AVERAGE(D15:D17)</f>
        <v>16.0488</v>
      </c>
      <c r="L15">
        <f>_xlfn.STDEV.P(D15,D16,D17)</f>
        <v>5.9239232495591404E-2</v>
      </c>
      <c r="M15">
        <f>AVERAGE(E15:E17)</f>
        <v>0.4012</v>
      </c>
      <c r="N15">
        <f>_xlfn.STDEV.P(E15,E16,E17)</f>
        <v>1.5121728296285152E-3</v>
      </c>
      <c r="O15">
        <f>AVERAGE(F15:F17)</f>
        <v>6231.0866666666661</v>
      </c>
      <c r="P15">
        <f>_xlfn.STDEV.P(F15,F16,F17)</f>
        <v>22.995014435500764</v>
      </c>
    </row>
    <row r="16" spans="2:16" x14ac:dyDescent="0.3">
      <c r="B16">
        <v>256</v>
      </c>
      <c r="C16">
        <v>2</v>
      </c>
      <c r="D16">
        <v>15.9779</v>
      </c>
      <c r="E16">
        <v>0.39939999999999998</v>
      </c>
      <c r="F16">
        <v>6258.65</v>
      </c>
      <c r="K16" t="s">
        <v>25</v>
      </c>
    </row>
    <row r="17" spans="2:16" x14ac:dyDescent="0.3">
      <c r="B17">
        <v>256</v>
      </c>
      <c r="C17">
        <v>3</v>
      </c>
      <c r="D17">
        <v>16.122900000000001</v>
      </c>
      <c r="E17">
        <v>0.40310000000000001</v>
      </c>
      <c r="F17">
        <v>6202.36</v>
      </c>
      <c r="K17" t="s">
        <v>17</v>
      </c>
      <c r="L17" t="s">
        <v>31</v>
      </c>
      <c r="M17" t="s">
        <v>18</v>
      </c>
      <c r="N17" t="s">
        <v>31</v>
      </c>
      <c r="O17" t="s">
        <v>19</v>
      </c>
      <c r="P17" t="s">
        <v>31</v>
      </c>
    </row>
    <row r="18" spans="2:16" x14ac:dyDescent="0.3">
      <c r="B18">
        <v>512</v>
      </c>
      <c r="C18">
        <v>1</v>
      </c>
      <c r="D18">
        <v>13.9541</v>
      </c>
      <c r="E18">
        <v>0.34889999999999999</v>
      </c>
      <c r="F18">
        <v>7166.37</v>
      </c>
      <c r="K18">
        <f>AVERAGE(D18:D20)</f>
        <v>14.014866666666668</v>
      </c>
      <c r="L18">
        <f>_xlfn.STDEV.P(D18,D19,D20)</f>
        <v>0.13787347662097865</v>
      </c>
      <c r="M18">
        <f>AVERAGE(E18:E20)</f>
        <v>0.35036666666666666</v>
      </c>
      <c r="N18">
        <f>_xlfn.STDEV.P(E18,E19,E20)</f>
        <v>3.4266926069057139E-3</v>
      </c>
      <c r="O18">
        <f>AVERAGE(F18:F20)</f>
        <v>7135.9633333333331</v>
      </c>
      <c r="P18">
        <f>_xlfn.STDEV.P(F18,F19,F20)</f>
        <v>69.815215788218751</v>
      </c>
    </row>
    <row r="19" spans="2:16" x14ac:dyDescent="0.3">
      <c r="B19">
        <v>512</v>
      </c>
      <c r="C19">
        <v>2</v>
      </c>
      <c r="D19">
        <v>13.8848</v>
      </c>
      <c r="E19">
        <v>0.34710000000000002</v>
      </c>
      <c r="F19">
        <v>7202.11</v>
      </c>
      <c r="K19" t="s">
        <v>26</v>
      </c>
    </row>
    <row r="20" spans="2:16" x14ac:dyDescent="0.3">
      <c r="B20">
        <v>512</v>
      </c>
      <c r="C20">
        <v>3</v>
      </c>
      <c r="D20">
        <v>14.2057</v>
      </c>
      <c r="E20">
        <v>0.35510000000000003</v>
      </c>
      <c r="F20">
        <v>7039.41</v>
      </c>
      <c r="K20" t="s">
        <v>17</v>
      </c>
      <c r="L20" t="s">
        <v>31</v>
      </c>
      <c r="M20" t="s">
        <v>18</v>
      </c>
      <c r="N20" t="s">
        <v>31</v>
      </c>
      <c r="O20" t="s">
        <v>19</v>
      </c>
      <c r="P20" t="s">
        <v>31</v>
      </c>
    </row>
    <row r="21" spans="2:16" x14ac:dyDescent="0.3">
      <c r="B21">
        <v>1024</v>
      </c>
      <c r="C21">
        <v>1</v>
      </c>
      <c r="D21">
        <v>13.2597</v>
      </c>
      <c r="E21">
        <v>0.33150000000000002</v>
      </c>
      <c r="F21">
        <v>6178.12</v>
      </c>
      <c r="K21">
        <f>AVERAGE(D21:D23)</f>
        <v>13.281866666666666</v>
      </c>
      <c r="L21">
        <f>_xlfn.STDEV.P(D21,D22,D23)</f>
        <v>3.8710406295407854E-2</v>
      </c>
      <c r="M21">
        <f>AVERAGE(E21:E23)</f>
        <v>0.33203333333333335</v>
      </c>
      <c r="N21">
        <f>_xlfn.STDEV.P(E21,E22,E23)</f>
        <v>9.7410927974681688E-4</v>
      </c>
      <c r="O21">
        <f>AVERAGE(F21:F23)</f>
        <v>6167.8666666666659</v>
      </c>
      <c r="P21">
        <f>_xlfn.STDEV.P(F21,F22,F23)</f>
        <v>17.94919187286408</v>
      </c>
    </row>
    <row r="22" spans="2:16" x14ac:dyDescent="0.3">
      <c r="B22">
        <v>1024</v>
      </c>
      <c r="C22">
        <v>2</v>
      </c>
      <c r="D22">
        <v>13.3363</v>
      </c>
      <c r="E22">
        <v>0.33339999999999997</v>
      </c>
      <c r="F22">
        <v>6142.63</v>
      </c>
      <c r="K22" t="s">
        <v>27</v>
      </c>
    </row>
    <row r="23" spans="2:16" x14ac:dyDescent="0.3">
      <c r="B23">
        <v>1024</v>
      </c>
      <c r="C23">
        <v>3</v>
      </c>
      <c r="D23">
        <v>13.249599999999999</v>
      </c>
      <c r="E23">
        <v>0.33119999999999999</v>
      </c>
      <c r="F23">
        <v>6182.85</v>
      </c>
      <c r="K23" t="s">
        <v>17</v>
      </c>
      <c r="L23" t="s">
        <v>31</v>
      </c>
      <c r="M23" t="s">
        <v>18</v>
      </c>
      <c r="N23" t="s">
        <v>31</v>
      </c>
      <c r="O23" t="s">
        <v>19</v>
      </c>
      <c r="P23" t="s">
        <v>31</v>
      </c>
    </row>
    <row r="24" spans="2:16" x14ac:dyDescent="0.3">
      <c r="B24">
        <v>2048</v>
      </c>
      <c r="C24">
        <v>1</v>
      </c>
      <c r="D24">
        <v>13.3704</v>
      </c>
      <c r="E24">
        <v>0.33429999999999999</v>
      </c>
      <c r="F24">
        <v>6126.98</v>
      </c>
      <c r="K24">
        <f>AVERAGE(D24:D26)</f>
        <v>13.365733333333333</v>
      </c>
      <c r="L24">
        <f>_xlfn.STDEV.P(D24,D25,D26)</f>
        <v>1.5222206001613557E-2</v>
      </c>
      <c r="M24">
        <f>AVERAGE(E24:E26)</f>
        <v>0.33413333333333334</v>
      </c>
      <c r="N24">
        <f>_xlfn.STDEV.P(E24,E25,E26)</f>
        <v>3.8586123009300816E-4</v>
      </c>
      <c r="O24">
        <f>AVERAGE(F24:F26)</f>
        <v>6129.1066666666666</v>
      </c>
      <c r="P24">
        <f>_xlfn.STDEV.P(F24,F25,F26)</f>
        <v>6.9816203149574809</v>
      </c>
    </row>
    <row r="25" spans="2:16" x14ac:dyDescent="0.3">
      <c r="B25">
        <v>2048</v>
      </c>
      <c r="C25">
        <v>2</v>
      </c>
      <c r="D25">
        <v>13.3452</v>
      </c>
      <c r="E25">
        <v>0.33360000000000001</v>
      </c>
      <c r="F25">
        <v>6138.52</v>
      </c>
    </row>
    <row r="26" spans="2:16" x14ac:dyDescent="0.3">
      <c r="B26">
        <v>2048</v>
      </c>
      <c r="C26">
        <v>3</v>
      </c>
      <c r="D26">
        <v>13.381600000000001</v>
      </c>
      <c r="E26">
        <v>0.33450000000000002</v>
      </c>
      <c r="F26">
        <v>6121.82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AIRM4_CNN_CPU</vt:lpstr>
      <vt:lpstr>AIRM4_CNN_GPU</vt:lpstr>
      <vt:lpstr>AIRM4_LSTM_CPU</vt:lpstr>
      <vt:lpstr>AIRM4_LSTM_GPU</vt:lpstr>
      <vt:lpstr>M4PRO_CNN_CPU</vt:lpstr>
      <vt:lpstr>M4PRO_CNN_GPU</vt:lpstr>
      <vt:lpstr>M4PRO_LSTM_GPU</vt:lpstr>
      <vt:lpstr>M4PRO_LSTM_CPU</vt:lpstr>
      <vt:lpstr>R7_7800_CNN</vt:lpstr>
      <vt:lpstr>5060TI_CNN</vt:lpstr>
      <vt:lpstr>R7_7800_LSTM</vt:lpstr>
      <vt:lpstr>5060TI_LSTM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Sierra</dc:creator>
  <cp:lastModifiedBy>Oscar Sierra</cp:lastModifiedBy>
  <dcterms:created xsi:type="dcterms:W3CDTF">2026-04-17T14:54:08Z</dcterms:created>
  <dcterms:modified xsi:type="dcterms:W3CDTF">2026-04-17T17:42:50Z</dcterms:modified>
</cp:coreProperties>
</file>